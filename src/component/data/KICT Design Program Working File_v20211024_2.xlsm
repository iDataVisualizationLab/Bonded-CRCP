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RE\nvtngan\project\github\Bonded-CRCP\src\component\data\"/>
    </mc:Choice>
  </mc:AlternateContent>
  <xr:revisionPtr revIDLastSave="0" documentId="13_ncr:1_{E0E98930-40EF-43FD-93CC-DB238CB76204}" xr6:coauthVersionLast="46" xr6:coauthVersionMax="47" xr10:uidLastSave="{00000000-0000-0000-0000-000000000000}"/>
  <workbookProtection workbookAlgorithmName="SHA-512" workbookHashValue="1dz5Ch2qx2UQcm6LjPfDalQqkZrMfORHXeNdTXeMzjgVVlVlwhwVHPNTia+4N5kkZ35Nj62NidcYbqX9ws/TCA==" workbookSaltValue="xwFSu9himzcjNdV73fRkSw==" workbookSpinCount="100000" lockStructure="1"/>
  <bookViews>
    <workbookView xWindow="-108" yWindow="-108" windowWidth="23256" windowHeight="12576" tabRatio="895" xr2:uid="{00000000-000D-0000-FFFF-FFFF00000000}"/>
  </bookViews>
  <sheets>
    <sheet name="Input" sheetId="34" r:id="rId1"/>
    <sheet name="Temperature" sheetId="31" state="hidden" r:id="rId2"/>
    <sheet name="Soil Classification" sheetId="43" state="hidden" r:id="rId3"/>
    <sheet name="Composite K" sheetId="35" state="hidden" r:id="rId4"/>
    <sheet name="S-Table" sheetId="45" state="hidden" r:id="rId5"/>
    <sheet name="Stress" sheetId="44" state="hidden" r:id="rId6"/>
    <sheet name="Final Result" sheetId="40" r:id="rId7"/>
  </sheets>
  <functionGroups builtInGroupCount="19"/>
  <definedNames>
    <definedName name="_xlnm._FilterDatabase" localSheetId="4" hidden="1">'S-Table'!$A$1:$G$82</definedName>
    <definedName name="AASHTO">'Soil Classification'!$C$21:$C$32</definedName>
    <definedName name="ABL">Temperature!$B$304:$B$316</definedName>
    <definedName name="AMA">Temperature!$B$319:$B$335</definedName>
    <definedName name="ATL">Temperature!$B$338:$B$346</definedName>
    <definedName name="AUS">Temperature!$B$349:$B$359</definedName>
    <definedName name="BMT">Temperature!$B$362:$B$369</definedName>
    <definedName name="BRY">Temperature!$B$372:$B$381</definedName>
    <definedName name="BWD">Temperature!$B$384:$B$392</definedName>
    <definedName name="CHS">Temperature!$B$395:$B$407</definedName>
    <definedName name="Classification">'Soil Classification'!$C$2:$D$2</definedName>
    <definedName name="CRP">Temperature!$B$410:$B$419</definedName>
    <definedName name="DAL">Temperature!$B$422:$B$428</definedName>
    <definedName name="District">Temperature!$A$303:$A$327</definedName>
    <definedName name="ELP">Temperature!$B$431:$B$436</definedName>
    <definedName name="FTW">Temperature!$B$439:$B$447</definedName>
    <definedName name="HOU">Temperature!$B$450:$B$455</definedName>
    <definedName name="LBB">Temperature!$B$458:$B$474</definedName>
    <definedName name="LFK">Temperature!$B$477:$B$485</definedName>
    <definedName name="LRD">Temperature!$B$488:$B$495</definedName>
    <definedName name="ODA">Temperature!$B$498:$B$509</definedName>
    <definedName name="PAR">Temperature!$B$512:$B$520</definedName>
    <definedName name="PHR">Temperature!$B$523:$B$530</definedName>
    <definedName name="SAT">Temperature!$B$533:$B$544</definedName>
    <definedName name="SJT">Temperature!$B$547:$B$561</definedName>
    <definedName name="TYL">Temperature!$B$564:$B$571</definedName>
    <definedName name="USCS">'Soil Classification'!$D$21:$D$34</definedName>
    <definedName name="WAC">Temperature!$B$574:$B$581</definedName>
    <definedName name="WFS">Temperature!$B$584:$B$592</definedName>
    <definedName name="YKM">Temperature!$B$595:$B$605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2" i="45" l="1"/>
  <c r="G81" i="45"/>
  <c r="G80" i="45"/>
  <c r="G79" i="45"/>
  <c r="G78" i="45"/>
  <c r="G77" i="45"/>
  <c r="G76" i="45"/>
  <c r="G75" i="45"/>
  <c r="G74" i="45"/>
  <c r="G73" i="45"/>
  <c r="G72" i="45"/>
  <c r="G71" i="45"/>
  <c r="G70" i="45"/>
  <c r="G69" i="45"/>
  <c r="G68" i="45"/>
  <c r="G67" i="45"/>
  <c r="G66" i="45"/>
  <c r="G65" i="45"/>
  <c r="G64" i="45"/>
  <c r="G63" i="45"/>
  <c r="G62" i="45"/>
  <c r="G61" i="45"/>
  <c r="G60" i="45"/>
  <c r="G59" i="45"/>
  <c r="G58" i="45"/>
  <c r="G57" i="45"/>
  <c r="G56" i="45"/>
  <c r="G55" i="45"/>
  <c r="G54" i="45"/>
  <c r="G53" i="45"/>
  <c r="G52" i="45"/>
  <c r="G51" i="45"/>
  <c r="G50" i="45"/>
  <c r="G49" i="45"/>
  <c r="G48" i="45"/>
  <c r="G47" i="45"/>
  <c r="G46" i="45"/>
  <c r="G45" i="45"/>
  <c r="G44" i="45"/>
  <c r="G43" i="45"/>
  <c r="G42" i="45"/>
  <c r="G41" i="45"/>
  <c r="G40" i="45"/>
  <c r="G39" i="45"/>
  <c r="G38" i="45"/>
  <c r="G37" i="45"/>
  <c r="G36" i="45"/>
  <c r="G35" i="45"/>
  <c r="G34" i="45"/>
  <c r="G33" i="45"/>
  <c r="G32" i="45"/>
  <c r="G31" i="45"/>
  <c r="G30" i="45"/>
  <c r="G29" i="45"/>
  <c r="G28" i="45"/>
  <c r="G27" i="45"/>
  <c r="G26" i="45"/>
  <c r="G25" i="45"/>
  <c r="G24" i="45"/>
  <c r="G23" i="45"/>
  <c r="G22" i="45"/>
  <c r="G21" i="45"/>
  <c r="G20" i="45"/>
  <c r="G19" i="45"/>
  <c r="G18" i="45"/>
  <c r="G17" i="45"/>
  <c r="G16" i="45"/>
  <c r="G15" i="45"/>
  <c r="G14" i="45"/>
  <c r="G13" i="45"/>
  <c r="G12" i="45"/>
  <c r="G11" i="45"/>
  <c r="G10" i="45"/>
  <c r="G9" i="45"/>
  <c r="G8" i="45"/>
  <c r="G7" i="45"/>
  <c r="G6" i="45"/>
  <c r="G5" i="45"/>
  <c r="G4" i="45"/>
  <c r="G3" i="45"/>
  <c r="G2" i="45"/>
  <c r="B10" i="44"/>
  <c r="C10" i="44" s="1"/>
  <c r="R12" i="44"/>
  <c r="R10" i="44"/>
  <c r="R8" i="44"/>
  <c r="R6" i="44"/>
  <c r="Z10" i="44" s="1"/>
  <c r="W17" i="44" s="1"/>
  <c r="R4" i="44"/>
  <c r="Z6" i="44" s="1"/>
  <c r="W16" i="44" s="1"/>
  <c r="B8" i="44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61" i="45"/>
  <c r="E60" i="45"/>
  <c r="E59" i="45"/>
  <c r="E58" i="45"/>
  <c r="E57" i="45"/>
  <c r="E56" i="45"/>
  <c r="E55" i="45"/>
  <c r="E54" i="45"/>
  <c r="E53" i="45"/>
  <c r="E52" i="45"/>
  <c r="E51" i="45"/>
  <c r="E50" i="45"/>
  <c r="E49" i="45"/>
  <c r="E48" i="45"/>
  <c r="E47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E11" i="45"/>
  <c r="E10" i="45"/>
  <c r="E9" i="45"/>
  <c r="E8" i="45"/>
  <c r="E7" i="45"/>
  <c r="E6" i="45"/>
  <c r="E5" i="45"/>
  <c r="E4" i="45"/>
  <c r="E3" i="45"/>
  <c r="E2" i="45"/>
  <c r="B6" i="44"/>
  <c r="AK2" i="44" s="1"/>
  <c r="B3" i="44"/>
  <c r="D3" i="44" s="1"/>
  <c r="C7" i="34"/>
  <c r="B2" i="44" s="1"/>
  <c r="W2" i="44" s="1"/>
  <c r="AH2" i="44" s="1"/>
  <c r="AL2" i="44" l="1"/>
  <c r="B9" i="44"/>
  <c r="AM2" i="44" s="1"/>
  <c r="AE3" i="44"/>
  <c r="AE4" i="44"/>
  <c r="G13" i="44"/>
  <c r="G12" i="44"/>
  <c r="G10" i="44"/>
  <c r="G9" i="44"/>
  <c r="G8" i="44"/>
  <c r="G11" i="44"/>
  <c r="X2" i="44"/>
  <c r="C3" i="44"/>
  <c r="F5" i="44"/>
  <c r="F4" i="44"/>
  <c r="F3" i="44"/>
  <c r="F2" i="44"/>
  <c r="F9" i="44"/>
  <c r="F8" i="44"/>
  <c r="F13" i="44"/>
  <c r="F12" i="44"/>
  <c r="F11" i="44"/>
  <c r="F6" i="44"/>
  <c r="F10" i="44"/>
  <c r="F7" i="44"/>
  <c r="C8" i="35"/>
  <c r="D9" i="35"/>
  <c r="D8" i="35" s="1"/>
  <c r="A8" i="35"/>
  <c r="B8" i="35" s="1"/>
  <c r="B2" i="35" s="1"/>
  <c r="D2" i="35" l="1"/>
  <c r="E8" i="35"/>
  <c r="E2" i="35" s="1"/>
  <c r="AI2" i="44"/>
  <c r="G6" i="44"/>
  <c r="G7" i="44"/>
  <c r="G5" i="44"/>
  <c r="G4" i="44"/>
  <c r="G3" i="44"/>
  <c r="G2" i="44"/>
  <c r="R2" i="44"/>
  <c r="Z2" i="44" s="1"/>
  <c r="O6" i="44"/>
  <c r="O13" i="44"/>
  <c r="O5" i="44"/>
  <c r="O12" i="44"/>
  <c r="O4" i="44"/>
  <c r="O11" i="44"/>
  <c r="O3" i="44"/>
  <c r="O10" i="44"/>
  <c r="O2" i="44"/>
  <c r="O9" i="44"/>
  <c r="O8" i="44"/>
  <c r="O7" i="44"/>
  <c r="C2" i="35"/>
  <c r="W15" i="44" l="1"/>
  <c r="AE2" i="44"/>
  <c r="F19" i="34"/>
  <c r="B4" i="44" s="1"/>
  <c r="P13" i="44"/>
  <c r="P5" i="44"/>
  <c r="P4" i="44"/>
  <c r="P3" i="44"/>
  <c r="P2" i="44"/>
  <c r="P9" i="44"/>
  <c r="Q8" i="44" l="1"/>
  <c r="Q2" i="44"/>
  <c r="C4" i="44"/>
  <c r="D4" i="44"/>
  <c r="Y2" i="44"/>
  <c r="AJ2" i="44" s="1"/>
  <c r="AN2" i="44" s="1"/>
  <c r="P10" i="44"/>
  <c r="P6" i="44"/>
  <c r="P11" i="44"/>
  <c r="P7" i="44"/>
  <c r="P8" i="44"/>
  <c r="P12" i="44"/>
  <c r="H9" i="44" l="1"/>
  <c r="J9" i="44" s="1"/>
  <c r="H4" i="44"/>
  <c r="J4" i="44" s="1"/>
  <c r="H10" i="44"/>
  <c r="J10" i="44" s="1"/>
  <c r="H8" i="44"/>
  <c r="J8" i="44" s="1"/>
  <c r="H2" i="44"/>
  <c r="J2" i="44" s="1"/>
  <c r="H3" i="44"/>
  <c r="J3" i="44" s="1"/>
  <c r="H6" i="44"/>
  <c r="J6" i="44" s="1"/>
  <c r="H5" i="44"/>
  <c r="J5" i="44" s="1"/>
  <c r="H12" i="44"/>
  <c r="J12" i="44" s="1"/>
  <c r="H7" i="44"/>
  <c r="J7" i="44" s="1"/>
  <c r="H13" i="44"/>
  <c r="J13" i="44" s="1"/>
  <c r="H11" i="44"/>
  <c r="J11" i="44" s="1"/>
  <c r="A2" i="35"/>
  <c r="L7" i="44" l="1"/>
  <c r="K7" i="44"/>
  <c r="L5" i="44"/>
  <c r="K5" i="44"/>
  <c r="L3" i="44"/>
  <c r="K3" i="44"/>
  <c r="K2" i="44"/>
  <c r="L2" i="44"/>
  <c r="K8" i="44"/>
  <c r="L8" i="44"/>
  <c r="K10" i="44"/>
  <c r="L10" i="44"/>
  <c r="K11" i="44"/>
  <c r="L11" i="44"/>
  <c r="K12" i="44"/>
  <c r="L12" i="44"/>
  <c r="K6" i="44"/>
  <c r="L6" i="44"/>
  <c r="L4" i="44"/>
  <c r="K4" i="44"/>
  <c r="L13" i="44"/>
  <c r="K13" i="44"/>
  <c r="K9" i="44"/>
  <c r="L9" i="44"/>
  <c r="S6" i="44" l="1"/>
  <c r="T6" i="44"/>
  <c r="T2" i="44"/>
  <c r="S8" i="44"/>
  <c r="S12" i="44"/>
  <c r="T10" i="44"/>
  <c r="S10" i="44"/>
  <c r="T12" i="44"/>
  <c r="T8" i="44"/>
  <c r="AB2" i="44" s="1"/>
  <c r="Y15" i="44" s="1"/>
  <c r="S2" i="44"/>
  <c r="AA2" i="44" s="1"/>
  <c r="S4" i="44"/>
  <c r="AA6" i="44" s="1"/>
  <c r="T4" i="44"/>
  <c r="AB6" i="44" s="1"/>
  <c r="Y16" i="44" s="1"/>
  <c r="AA10" i="44" l="1"/>
  <c r="X17" i="44" s="1"/>
  <c r="Z17" i="44" s="1"/>
  <c r="AB10" i="44"/>
  <c r="Y17" i="44" s="1"/>
  <c r="X15" i="44"/>
  <c r="Z15" i="44" s="1"/>
  <c r="AC2" i="44"/>
  <c r="X16" i="44"/>
  <c r="Z16" i="44" s="1"/>
  <c r="AC3" i="44"/>
  <c r="AC4" i="44" l="1"/>
  <c r="AO2" i="44"/>
</calcChain>
</file>

<file path=xl/sharedStrings.xml><?xml version="1.0" encoding="utf-8"?>
<sst xmlns="http://schemas.openxmlformats.org/spreadsheetml/2006/main" count="630" uniqueCount="522">
  <si>
    <t>Subgrade Type</t>
  </si>
  <si>
    <t>WFS</t>
  </si>
  <si>
    <t>AMA</t>
  </si>
  <si>
    <t>CHS</t>
  </si>
  <si>
    <t>LBB</t>
  </si>
  <si>
    <t>SJT</t>
  </si>
  <si>
    <t>ODA</t>
  </si>
  <si>
    <t>ABL</t>
  </si>
  <si>
    <t>ELP</t>
  </si>
  <si>
    <t>FTW</t>
  </si>
  <si>
    <t>DAL</t>
  </si>
  <si>
    <t>ATL</t>
  </si>
  <si>
    <t>BWD</t>
  </si>
  <si>
    <t>LFK</t>
  </si>
  <si>
    <t>SAT</t>
  </si>
  <si>
    <t>LRD</t>
  </si>
  <si>
    <t>BMT</t>
  </si>
  <si>
    <t>CRP</t>
  </si>
  <si>
    <t>PHR</t>
  </si>
  <si>
    <t>YKM</t>
  </si>
  <si>
    <t>Harris</t>
  </si>
  <si>
    <t>Input</t>
  </si>
  <si>
    <t>L Bound</t>
  </si>
  <si>
    <t>WAC</t>
  </si>
  <si>
    <t>AUS</t>
  </si>
  <si>
    <t>BRY</t>
  </si>
  <si>
    <t>HOU</t>
  </si>
  <si>
    <t>PAR</t>
  </si>
  <si>
    <t>TYL</t>
  </si>
  <si>
    <t>K</t>
  </si>
  <si>
    <t>SP</t>
  </si>
  <si>
    <t>Gravel</t>
  </si>
  <si>
    <t>A-1-a</t>
  </si>
  <si>
    <t>GW or GP</t>
  </si>
  <si>
    <t>Coarse Sand</t>
  </si>
  <si>
    <t>A-1-b</t>
  </si>
  <si>
    <t>SW</t>
  </si>
  <si>
    <t>Fine Sand</t>
  </si>
  <si>
    <t>A-3</t>
  </si>
  <si>
    <t>A-2-6</t>
  </si>
  <si>
    <t>A-2-7</t>
  </si>
  <si>
    <t>A-4</t>
  </si>
  <si>
    <t>ML or OL</t>
  </si>
  <si>
    <t>Poorly Graded Silt</t>
  </si>
  <si>
    <t>A-5</t>
  </si>
  <si>
    <t>MH</t>
  </si>
  <si>
    <t>Plastic Clay</t>
  </si>
  <si>
    <t>A-6</t>
  </si>
  <si>
    <t>CL</t>
  </si>
  <si>
    <t>Moderately Plastic Elastic Clay</t>
  </si>
  <si>
    <t>A-7-5</t>
  </si>
  <si>
    <t>CL or OL</t>
  </si>
  <si>
    <t>Highly Plastic Elastic Clay</t>
  </si>
  <si>
    <t>A-7-6</t>
  </si>
  <si>
    <t>CH or OH</t>
  </si>
  <si>
    <t>AASHTO</t>
  </si>
  <si>
    <t>Soil Classification System</t>
  </si>
  <si>
    <t>USCS</t>
  </si>
  <si>
    <t>Silty Gravel</t>
  </si>
  <si>
    <t>Silty Sandy Gravel</t>
  </si>
  <si>
    <t>Silty Sand</t>
  </si>
  <si>
    <t>Silty Gravelly Sand</t>
  </si>
  <si>
    <t>Clayey Gravel</t>
  </si>
  <si>
    <t>Clayey Sandy Gravel</t>
  </si>
  <si>
    <t>Clayey Sand</t>
  </si>
  <si>
    <t>Clayey Gravelly Sand</t>
  </si>
  <si>
    <t>Silt</t>
  </si>
  <si>
    <t>A-2-4</t>
  </si>
  <si>
    <t>A-2-5</t>
  </si>
  <si>
    <t>GW</t>
  </si>
  <si>
    <t>GP</t>
  </si>
  <si>
    <t>GM</t>
  </si>
  <si>
    <t>SM</t>
  </si>
  <si>
    <t>GC</t>
  </si>
  <si>
    <t>SC</t>
  </si>
  <si>
    <t>Soil Description</t>
  </si>
  <si>
    <t>Silt / Sand / Gravel Mix</t>
  </si>
  <si>
    <t>Coarse Grained Soils</t>
  </si>
  <si>
    <t>Granular Materials with High Fines</t>
  </si>
  <si>
    <t>Fine Grained Soils</t>
  </si>
  <si>
    <t>ML</t>
  </si>
  <si>
    <t>OL</t>
  </si>
  <si>
    <t>CH</t>
  </si>
  <si>
    <t>OH</t>
  </si>
  <si>
    <t xml:space="preserve"> Highway</t>
  </si>
  <si>
    <t xml:space="preserve"> Direction</t>
  </si>
  <si>
    <t xml:space="preserve"> Station (Begin)</t>
  </si>
  <si>
    <t xml:space="preserve"> Station (End)</t>
  </si>
  <si>
    <t xml:space="preserve"> A. Project Identification</t>
  </si>
  <si>
    <t xml:space="preserve"> B. Design Parameters</t>
  </si>
  <si>
    <t xml:space="preserve"> Design Life (year)</t>
  </si>
  <si>
    <t xml:space="preserve"> C. Design Traffic</t>
  </si>
  <si>
    <t xml:space="preserve"> D. Concrete Layer Information</t>
  </si>
  <si>
    <t xml:space="preserve"> Soil Classification System</t>
  </si>
  <si>
    <t xml:space="preserve"> Soil Classification of Subgrade</t>
  </si>
  <si>
    <t xml:space="preserve"> Base Type</t>
  </si>
  <si>
    <t xml:space="preserve"> INPUT DATA</t>
  </si>
  <si>
    <t xml:space="preserve"> Total Number of Lanes in One Direction</t>
  </si>
  <si>
    <t>Borden</t>
  </si>
  <si>
    <t>Callahan</t>
  </si>
  <si>
    <t>Fisher</t>
  </si>
  <si>
    <t>Haskell</t>
  </si>
  <si>
    <t>Howard</t>
  </si>
  <si>
    <t>Jones</t>
  </si>
  <si>
    <t>Kent</t>
  </si>
  <si>
    <t>Mitchell</t>
  </si>
  <si>
    <t>Nolan</t>
  </si>
  <si>
    <t>Scurry</t>
  </si>
  <si>
    <t>Shackelford</t>
  </si>
  <si>
    <t>Stonewall</t>
  </si>
  <si>
    <t>Taylor</t>
  </si>
  <si>
    <t>Armstrong</t>
  </si>
  <si>
    <t>Carson</t>
  </si>
  <si>
    <t>Dallam</t>
  </si>
  <si>
    <t>Deaf Smith</t>
  </si>
  <si>
    <t>Gray</t>
  </si>
  <si>
    <t>Hansford</t>
  </si>
  <si>
    <t>Hartley</t>
  </si>
  <si>
    <t>Hemphill</t>
  </si>
  <si>
    <t>Hutchinson</t>
  </si>
  <si>
    <t>Lipscomb</t>
  </si>
  <si>
    <t>Moore</t>
  </si>
  <si>
    <t>Ochiltree</t>
  </si>
  <si>
    <t>Oldham</t>
  </si>
  <si>
    <t>Potter</t>
  </si>
  <si>
    <t>Randall</t>
  </si>
  <si>
    <t>Roberts</t>
  </si>
  <si>
    <t>Sherman</t>
  </si>
  <si>
    <t>Bowie</t>
  </si>
  <si>
    <t>Camp</t>
  </si>
  <si>
    <t>Cass</t>
  </si>
  <si>
    <t>Harrison</t>
  </si>
  <si>
    <t>Marion</t>
  </si>
  <si>
    <t>Morris</t>
  </si>
  <si>
    <t>Panola</t>
  </si>
  <si>
    <t>Titus</t>
  </si>
  <si>
    <t>Upshur</t>
  </si>
  <si>
    <t>Bastrop</t>
  </si>
  <si>
    <t>Blanco</t>
  </si>
  <si>
    <t>Burnet</t>
  </si>
  <si>
    <t>Caldwell</t>
  </si>
  <si>
    <t>Gillespie</t>
  </si>
  <si>
    <t>Hays</t>
  </si>
  <si>
    <t>Lee</t>
  </si>
  <si>
    <t>Llano</t>
  </si>
  <si>
    <t>Mason</t>
  </si>
  <si>
    <t>Travis</t>
  </si>
  <si>
    <t>Williamson</t>
  </si>
  <si>
    <t>Chambers</t>
  </si>
  <si>
    <t>Hardin</t>
  </si>
  <si>
    <t>Jasper</t>
  </si>
  <si>
    <t>Jefferson</t>
  </si>
  <si>
    <t>Liberty</t>
  </si>
  <si>
    <t>Newton</t>
  </si>
  <si>
    <t>Orange</t>
  </si>
  <si>
    <t>Tyler</t>
  </si>
  <si>
    <t>Brazos</t>
  </si>
  <si>
    <t>Burleson</t>
  </si>
  <si>
    <t>Freestone</t>
  </si>
  <si>
    <t>Grimes</t>
  </si>
  <si>
    <t>Leon</t>
  </si>
  <si>
    <t>Madison</t>
  </si>
  <si>
    <t>Milam</t>
  </si>
  <si>
    <t>Robertson</t>
  </si>
  <si>
    <t>Walker</t>
  </si>
  <si>
    <t>Washington</t>
  </si>
  <si>
    <t>Brown</t>
  </si>
  <si>
    <t>Coleman</t>
  </si>
  <si>
    <t>Comanche</t>
  </si>
  <si>
    <t>Eastland</t>
  </si>
  <si>
    <t>Lampasas</t>
  </si>
  <si>
    <t>McCulloch</t>
  </si>
  <si>
    <t>Mills</t>
  </si>
  <si>
    <t>San Saba</t>
  </si>
  <si>
    <t>Stephens</t>
  </si>
  <si>
    <t>Briscoe</t>
  </si>
  <si>
    <t>Childress</t>
  </si>
  <si>
    <t>Collingsworth</t>
  </si>
  <si>
    <t>Cottle</t>
  </si>
  <si>
    <t>Dickens</t>
  </si>
  <si>
    <t>Donley</t>
  </si>
  <si>
    <t>Foard</t>
  </si>
  <si>
    <t>Hall</t>
  </si>
  <si>
    <t>Hardeman</t>
  </si>
  <si>
    <t>King</t>
  </si>
  <si>
    <t>Knox</t>
  </si>
  <si>
    <t>Motley</t>
  </si>
  <si>
    <t>Wheeler</t>
  </si>
  <si>
    <t>Aransas</t>
  </si>
  <si>
    <t>Bee</t>
  </si>
  <si>
    <t>Goliad</t>
  </si>
  <si>
    <t>Jim Wells</t>
  </si>
  <si>
    <t>Karnes</t>
  </si>
  <si>
    <t>Kleberg</t>
  </si>
  <si>
    <t>Live Oak</t>
  </si>
  <si>
    <t>Nueces</t>
  </si>
  <si>
    <t>Refugio</t>
  </si>
  <si>
    <t>San Patricio</t>
  </si>
  <si>
    <t>Collin</t>
  </si>
  <si>
    <t>Dallas</t>
  </si>
  <si>
    <t>Denton</t>
  </si>
  <si>
    <t>Ellis</t>
  </si>
  <si>
    <t>Kaufman</t>
  </si>
  <si>
    <t>Navarro</t>
  </si>
  <si>
    <t>Rockwall</t>
  </si>
  <si>
    <t>Brewster</t>
  </si>
  <si>
    <t>Culberson</t>
  </si>
  <si>
    <t>El Paso</t>
  </si>
  <si>
    <t>Hudspeth</t>
  </si>
  <si>
    <t>Jeff Davis</t>
  </si>
  <si>
    <t>Presidio</t>
  </si>
  <si>
    <t>Erath</t>
  </si>
  <si>
    <t>Hood</t>
  </si>
  <si>
    <t>Jack</t>
  </si>
  <si>
    <t>Johnson</t>
  </si>
  <si>
    <t>Palo Pinto</t>
  </si>
  <si>
    <t>Parker</t>
  </si>
  <si>
    <t>Somervell</t>
  </si>
  <si>
    <t>Tarrant</t>
  </si>
  <si>
    <t>Wise</t>
  </si>
  <si>
    <t>Brazoria</t>
  </si>
  <si>
    <t>Fort Bend</t>
  </si>
  <si>
    <t>Galveston</t>
  </si>
  <si>
    <t>Montgomery</t>
  </si>
  <si>
    <t>Waller</t>
  </si>
  <si>
    <t>Bailey</t>
  </si>
  <si>
    <t>Castro</t>
  </si>
  <si>
    <t>Cochran</t>
  </si>
  <si>
    <t>Crosby</t>
  </si>
  <si>
    <t>Dawson</t>
  </si>
  <si>
    <t>Floyd</t>
  </si>
  <si>
    <t>Gaines</t>
  </si>
  <si>
    <t>Garza</t>
  </si>
  <si>
    <t>Hale</t>
  </si>
  <si>
    <t>Hockley</t>
  </si>
  <si>
    <t>Lamb</t>
  </si>
  <si>
    <t>Lubbock</t>
  </si>
  <si>
    <t>Lynn</t>
  </si>
  <si>
    <t>Parmer</t>
  </si>
  <si>
    <t>Swisher</t>
  </si>
  <si>
    <t>Terry</t>
  </si>
  <si>
    <t>Yoakum</t>
  </si>
  <si>
    <t>Angelina</t>
  </si>
  <si>
    <t>Houston</t>
  </si>
  <si>
    <t>Nacogdoches</t>
  </si>
  <si>
    <t>Polk</t>
  </si>
  <si>
    <t>Sabine</t>
  </si>
  <si>
    <t>San Augustine</t>
  </si>
  <si>
    <t>San Jacinto</t>
  </si>
  <si>
    <t>Shelby</t>
  </si>
  <si>
    <t>Trinity</t>
  </si>
  <si>
    <t>Dimmit</t>
  </si>
  <si>
    <t>Duval</t>
  </si>
  <si>
    <t>Kinney</t>
  </si>
  <si>
    <t>La Salle</t>
  </si>
  <si>
    <t>Maverick</t>
  </si>
  <si>
    <t>Val Verde</t>
  </si>
  <si>
    <t>Webb</t>
  </si>
  <si>
    <t>Zavala</t>
  </si>
  <si>
    <t>Andrews</t>
  </si>
  <si>
    <t>Crane</t>
  </si>
  <si>
    <t>Ector</t>
  </si>
  <si>
    <t>Loving</t>
  </si>
  <si>
    <t>Martin</t>
  </si>
  <si>
    <t>Midland</t>
  </si>
  <si>
    <t>Pecos</t>
  </si>
  <si>
    <t>Reeves</t>
  </si>
  <si>
    <t>Terrell</t>
  </si>
  <si>
    <t>Upton</t>
  </si>
  <si>
    <t>Ward</t>
  </si>
  <si>
    <t>Winkler</t>
  </si>
  <si>
    <t>Delta</t>
  </si>
  <si>
    <t>Fannin</t>
  </si>
  <si>
    <t>Franklin</t>
  </si>
  <si>
    <t>Grayson</t>
  </si>
  <si>
    <t>Hopkins</t>
  </si>
  <si>
    <t>Hunt</t>
  </si>
  <si>
    <t>Lamar</t>
  </si>
  <si>
    <t>Rains</t>
  </si>
  <si>
    <t>Red River</t>
  </si>
  <si>
    <t>Brooks</t>
  </si>
  <si>
    <t>Cameron</t>
  </si>
  <si>
    <t>Hidalgo</t>
  </si>
  <si>
    <t>Jim Hogg</t>
  </si>
  <si>
    <t>Kenedy</t>
  </si>
  <si>
    <t>Starr</t>
  </si>
  <si>
    <t>Willacy</t>
  </si>
  <si>
    <t>Zapata</t>
  </si>
  <si>
    <t>Atascosa</t>
  </si>
  <si>
    <t>Bandera</t>
  </si>
  <si>
    <t>Bexar</t>
  </si>
  <si>
    <t>Comal</t>
  </si>
  <si>
    <t>Frio</t>
  </si>
  <si>
    <t>Guadalupe</t>
  </si>
  <si>
    <t>Kendall</t>
  </si>
  <si>
    <t>Kerr</t>
  </si>
  <si>
    <t>McMullen</t>
  </si>
  <si>
    <t>Medina</t>
  </si>
  <si>
    <t>Uvalde</t>
  </si>
  <si>
    <t>Wilson</t>
  </si>
  <si>
    <t>Coke</t>
  </si>
  <si>
    <t>Concho</t>
  </si>
  <si>
    <t>Crockett</t>
  </si>
  <si>
    <t>Edwards</t>
  </si>
  <si>
    <t>Glasscock</t>
  </si>
  <si>
    <t>Irion</t>
  </si>
  <si>
    <t>Kimble</t>
  </si>
  <si>
    <t>Menard</t>
  </si>
  <si>
    <t>Reagan</t>
  </si>
  <si>
    <t>Real</t>
  </si>
  <si>
    <t>Runnels</t>
  </si>
  <si>
    <t>Schleicher</t>
  </si>
  <si>
    <t>Sterling</t>
  </si>
  <si>
    <t>Sutton</t>
  </si>
  <si>
    <t>Tom Green</t>
  </si>
  <si>
    <t>Anderson</t>
  </si>
  <si>
    <t>Cherokee</t>
  </si>
  <si>
    <t>Gregg</t>
  </si>
  <si>
    <t>Henderson</t>
  </si>
  <si>
    <t>Rusk</t>
  </si>
  <si>
    <t>Smith</t>
  </si>
  <si>
    <t>Van Zandt</t>
  </si>
  <si>
    <t>Wood</t>
  </si>
  <si>
    <t>Bell</t>
  </si>
  <si>
    <t>Bosque</t>
  </si>
  <si>
    <t>Coryell</t>
  </si>
  <si>
    <t>Falls</t>
  </si>
  <si>
    <t>Hamilton</t>
  </si>
  <si>
    <t>Hill</t>
  </si>
  <si>
    <t>Limestone</t>
  </si>
  <si>
    <t>McLennan</t>
  </si>
  <si>
    <t>Archer</t>
  </si>
  <si>
    <t>Baylor</t>
  </si>
  <si>
    <t>Clay</t>
  </si>
  <si>
    <t>Cooke</t>
  </si>
  <si>
    <t>Montague</t>
  </si>
  <si>
    <t>Throckmorton</t>
  </si>
  <si>
    <t>Wichita</t>
  </si>
  <si>
    <t>Wilbarger</t>
  </si>
  <si>
    <t>Young</t>
  </si>
  <si>
    <t>Austin</t>
  </si>
  <si>
    <t>Calhoun</t>
  </si>
  <si>
    <t>Colorado</t>
  </si>
  <si>
    <t>DeWitt</t>
  </si>
  <si>
    <t>Fayette</t>
  </si>
  <si>
    <t>Gonzales</t>
  </si>
  <si>
    <t>Jackson</t>
  </si>
  <si>
    <t>Lavaca</t>
  </si>
  <si>
    <t>Matagorda</t>
  </si>
  <si>
    <t>Victoria</t>
  </si>
  <si>
    <t>Wharton</t>
  </si>
  <si>
    <t xml:space="preserve"> Total Design Traffic in One Direction (million ESALs)</t>
  </si>
  <si>
    <t>CTB</t>
  </si>
  <si>
    <t xml:space="preserve"> E. Support Layers Information</t>
  </si>
  <si>
    <t>ATB</t>
  </si>
  <si>
    <t xml:space="preserve"> 28-Day Modulus of Rupture (MPa)</t>
  </si>
  <si>
    <t xml:space="preserve"> Base Thickness (cm.)</t>
  </si>
  <si>
    <t xml:space="preserve"> Modulus of Base Layer (MPa)</t>
  </si>
  <si>
    <t xml:space="preserve"> Composite K (MPa/m)</t>
  </si>
  <si>
    <t xml:space="preserve"> Number of Punchouts per Kilometer</t>
  </si>
  <si>
    <t>Subgrade K-Value (MPa/m)</t>
  </si>
  <si>
    <t>Base Thickness (cm)</t>
  </si>
  <si>
    <t>Modulus of Base Layer (MPa)</t>
  </si>
  <si>
    <t>Composite K (MPa/m)</t>
  </si>
  <si>
    <t>Subgrade K-Value (psi/in)</t>
  </si>
  <si>
    <t>Base Thickness (in)</t>
  </si>
  <si>
    <t>Modulus of Base Layer (ksi)</t>
  </si>
  <si>
    <t>Composite K (psi/in)</t>
  </si>
  <si>
    <t>English Units</t>
  </si>
  <si>
    <t>Region</t>
  </si>
  <si>
    <t>Area</t>
  </si>
  <si>
    <t>Thickness of CRCP Overlay</t>
  </si>
  <si>
    <t>Thickness of Existing Concrete</t>
  </si>
  <si>
    <t>H1</t>
  </si>
  <si>
    <t>H2</t>
  </si>
  <si>
    <t>고산</t>
  </si>
  <si>
    <t>성산</t>
  </si>
  <si>
    <t>서귀포</t>
  </si>
  <si>
    <t>제주</t>
  </si>
  <si>
    <t>흑산도</t>
  </si>
  <si>
    <t>진도군</t>
  </si>
  <si>
    <t>완도</t>
  </si>
  <si>
    <t>여수</t>
  </si>
  <si>
    <t>울릉도</t>
  </si>
  <si>
    <t>통영</t>
  </si>
  <si>
    <t>보성군</t>
  </si>
  <si>
    <t>거제</t>
  </si>
  <si>
    <t>목포</t>
  </si>
  <si>
    <t>고흥</t>
  </si>
  <si>
    <t>광양시</t>
  </si>
  <si>
    <t>북창원</t>
  </si>
  <si>
    <t>남해</t>
  </si>
  <si>
    <t>장흥</t>
  </si>
  <si>
    <t>부산</t>
  </si>
  <si>
    <t>강진군</t>
  </si>
  <si>
    <t>양산시</t>
  </si>
  <si>
    <t>백령도</t>
  </si>
  <si>
    <t>김해시</t>
  </si>
  <si>
    <t>광주</t>
  </si>
  <si>
    <t>동해</t>
  </si>
  <si>
    <t>순천</t>
  </si>
  <si>
    <t>보령</t>
  </si>
  <si>
    <t>해남</t>
  </si>
  <si>
    <t>창원</t>
  </si>
  <si>
    <t>울진</t>
  </si>
  <si>
    <t>군산</t>
  </si>
  <si>
    <t>포항</t>
  </si>
  <si>
    <t>울산</t>
  </si>
  <si>
    <t>산청</t>
  </si>
  <si>
    <t>영광군</t>
  </si>
  <si>
    <t>경주시</t>
  </si>
  <si>
    <t>대구</t>
  </si>
  <si>
    <t>의령군</t>
  </si>
  <si>
    <t>구미</t>
  </si>
  <si>
    <t>북강릉</t>
  </si>
  <si>
    <t>고창군</t>
  </si>
  <si>
    <t>진주</t>
  </si>
  <si>
    <t>정읍</t>
  </si>
  <si>
    <t>고창</t>
  </si>
  <si>
    <t>홍성</t>
  </si>
  <si>
    <t>함양군</t>
  </si>
  <si>
    <t>강릉</t>
  </si>
  <si>
    <t>추풍령</t>
  </si>
  <si>
    <t>전주</t>
  </si>
  <si>
    <t>상주</t>
  </si>
  <si>
    <t>순창군</t>
  </si>
  <si>
    <t>해주</t>
  </si>
  <si>
    <t>밀양</t>
  </si>
  <si>
    <t>영덕</t>
  </si>
  <si>
    <t>용연</t>
  </si>
  <si>
    <t>속초</t>
  </si>
  <si>
    <t>인천</t>
  </si>
  <si>
    <t>부안</t>
  </si>
  <si>
    <t>장전</t>
  </si>
  <si>
    <t>영천</t>
  </si>
  <si>
    <t>문경</t>
  </si>
  <si>
    <t>거창</t>
  </si>
  <si>
    <t>서산</t>
  </si>
  <si>
    <t>합천</t>
  </si>
  <si>
    <t>김책</t>
  </si>
  <si>
    <t>남포</t>
  </si>
  <si>
    <t>청진</t>
  </si>
  <si>
    <t>대전</t>
  </si>
  <si>
    <t>원산</t>
  </si>
  <si>
    <t>사리원</t>
  </si>
  <si>
    <t>청주</t>
  </si>
  <si>
    <t>남원</t>
  </si>
  <si>
    <t>개성</t>
  </si>
  <si>
    <t>태백</t>
  </si>
  <si>
    <t>평양</t>
  </si>
  <si>
    <t>수원</t>
  </si>
  <si>
    <t>강화</t>
  </si>
  <si>
    <t>선봉</t>
  </si>
  <si>
    <t>청송군</t>
  </si>
  <si>
    <t>서울</t>
  </si>
  <si>
    <t>안주</t>
  </si>
  <si>
    <t>신의주</t>
  </si>
  <si>
    <t>부여</t>
  </si>
  <si>
    <t>영주</t>
  </si>
  <si>
    <t>함흥</t>
  </si>
  <si>
    <t>신포</t>
  </si>
  <si>
    <t>안동</t>
  </si>
  <si>
    <t>임실</t>
  </si>
  <si>
    <t>정선군</t>
  </si>
  <si>
    <t>장수</t>
  </si>
  <si>
    <t>원주</t>
  </si>
  <si>
    <t>신계</t>
  </si>
  <si>
    <t>보은</t>
  </si>
  <si>
    <t>금산</t>
  </si>
  <si>
    <t>천안</t>
  </si>
  <si>
    <t>충주</t>
  </si>
  <si>
    <t>대관령</t>
  </si>
  <si>
    <t>양평</t>
  </si>
  <si>
    <t>파주</t>
  </si>
  <si>
    <t>북춘천</t>
  </si>
  <si>
    <t>인제</t>
  </si>
  <si>
    <t>수풍</t>
  </si>
  <si>
    <t>이천</t>
  </si>
  <si>
    <t>영월</t>
  </si>
  <si>
    <t>희천</t>
  </si>
  <si>
    <t>의성</t>
  </si>
  <si>
    <t>평강</t>
  </si>
  <si>
    <t>춘천</t>
  </si>
  <si>
    <t>구성</t>
  </si>
  <si>
    <t>동두천</t>
  </si>
  <si>
    <t>제천</t>
  </si>
  <si>
    <t>봉화</t>
  </si>
  <si>
    <t>풍산</t>
  </si>
  <si>
    <t>양덕</t>
  </si>
  <si>
    <t>철원</t>
  </si>
  <si>
    <t>홍천</t>
  </si>
  <si>
    <t>강계</t>
  </si>
  <si>
    <t>장진</t>
  </si>
  <si>
    <t>삼지연</t>
  </si>
  <si>
    <t>중강</t>
  </si>
  <si>
    <t>혜산</t>
  </si>
  <si>
    <t>Average Maximum (C)</t>
  </si>
  <si>
    <t>Average Minimum (C)</t>
  </si>
  <si>
    <t>H Bound</t>
  </si>
  <si>
    <t>ID</t>
  </si>
  <si>
    <t xml:space="preserve"> T80: 80% of Maximum Temperature (F)
 H1: Thickness of Existing Concrete (in.)
H2: Thickness of the CRCP Overlay (in.)
 K: Composite K (psi/in.)
 STR (T): Concrete Stress (T) (psi)
 STR (E): Concrete Stress (E) (psi)</t>
  </si>
  <si>
    <t>Composite K</t>
  </si>
  <si>
    <t>Stress</t>
  </si>
  <si>
    <t>max ESALs</t>
  </si>
  <si>
    <t>ESALs</t>
  </si>
  <si>
    <t>Comp K</t>
  </si>
  <si>
    <t>STR</t>
  </si>
  <si>
    <t>FD</t>
  </si>
  <si>
    <t>PO</t>
  </si>
  <si>
    <t>Input 
ESALs</t>
  </si>
  <si>
    <t>Input
STR</t>
  </si>
  <si>
    <t>Lean Concrete</t>
  </si>
  <si>
    <t>MR Des</t>
  </si>
  <si>
    <t>MR Inp</t>
  </si>
  <si>
    <t xml:space="preserve"> CRCP DESIGN RESULT</t>
  </si>
  <si>
    <t xml:space="preserve"> Thickness of CRCP Overlay (cm)</t>
  </si>
  <si>
    <t>CRCP OVERLAY DESIGN PROGRAM BASED ON MECHANISTIC-EMPIRICAL PRINCIPLES</t>
  </si>
  <si>
    <t>LN ESALs</t>
  </si>
  <si>
    <t>Granular Base</t>
  </si>
  <si>
    <t>Existing Concrete Slab Thickness Before Milling (cm)</t>
  </si>
  <si>
    <t>Location</t>
  </si>
  <si>
    <t>Project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</si>
</sst>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CC"/>
      <name val="Arial"/>
      <family val="2"/>
    </font>
    <font>
      <sz val="10"/>
      <name val="Arial"/>
      <family val="2"/>
    </font>
    <font>
      <sz val="8"/>
      <name val="돋움"/>
      <family val="3"/>
      <charset val="129"/>
    </font>
    <font>
      <b/>
      <sz val="12.5"/>
      <color theme="1"/>
      <name val="Arial"/>
      <family val="2"/>
    </font>
    <font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theme="1"/>
      <name val="Arial"/>
      <family val="2"/>
    </font>
    <font>
      <sz val="10"/>
      <color rgb="FFFF0000"/>
      <name val="Arial"/>
      <family val="2"/>
    </font>
    <font>
      <sz val="9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CE29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1">
    <xf numFmtId="0" fontId="0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9" applyNumberFormat="0" applyAlignment="0" applyProtection="0"/>
    <xf numFmtId="0" fontId="18" fillId="9" borderId="10" applyNumberFormat="0" applyAlignment="0" applyProtection="0"/>
    <xf numFmtId="0" fontId="19" fillId="9" borderId="9" applyNumberFormat="0" applyAlignment="0" applyProtection="0"/>
    <xf numFmtId="0" fontId="20" fillId="0" borderId="11" applyNumberFormat="0" applyFill="0" applyAlignment="0" applyProtection="0"/>
    <xf numFmtId="0" fontId="21" fillId="10" borderId="12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4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4" fillId="35" borderId="0" applyNumberFormat="0" applyBorder="0" applyAlignment="0" applyProtection="0"/>
    <xf numFmtId="0" fontId="3" fillId="0" borderId="0"/>
    <xf numFmtId="0" fontId="3" fillId="11" borderId="13" applyNumberFormat="0" applyFont="0" applyAlignment="0" applyProtection="0"/>
    <xf numFmtId="0" fontId="2" fillId="0" borderId="0"/>
    <xf numFmtId="0" fontId="2" fillId="11" borderId="1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6" fillId="0" borderId="0"/>
    <xf numFmtId="0" fontId="1" fillId="0" borderId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  <xf numFmtId="0" fontId="1" fillId="0" borderId="0"/>
    <xf numFmtId="0" fontId="1" fillId="0" borderId="0"/>
    <xf numFmtId="0" fontId="1" fillId="11" borderId="13" applyNumberFormat="0" applyFont="0" applyAlignment="0" applyProtection="0"/>
    <xf numFmtId="0" fontId="1" fillId="0" borderId="0"/>
    <xf numFmtId="0" fontId="1" fillId="11" borderId="1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</cellStyleXfs>
  <cellXfs count="111">
    <xf numFmtId="0" fontId="0" fillId="0" borderId="0" xfId="0"/>
    <xf numFmtId="0" fontId="5" fillId="0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 applyProtection="1">
      <alignment vertical="center"/>
    </xf>
    <xf numFmtId="0" fontId="25" fillId="0" borderId="0" xfId="0" applyFont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29" fillId="0" borderId="0" xfId="0" applyFont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36" borderId="1" xfId="0" applyFont="1" applyFill="1" applyBorder="1" applyAlignment="1" applyProtection="1">
      <alignment vertical="center"/>
    </xf>
    <xf numFmtId="0" fontId="5" fillId="36" borderId="1" xfId="0" applyFont="1" applyFill="1" applyBorder="1" applyAlignment="1" applyProtection="1">
      <alignment horizontal="center" vertical="center"/>
      <protection locked="0"/>
    </xf>
    <xf numFmtId="3" fontId="5" fillId="36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vertical="center"/>
    </xf>
    <xf numFmtId="1" fontId="5" fillId="0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6" borderId="1" xfId="0" applyFont="1" applyFill="1" applyBorder="1" applyAlignment="1">
      <alignment horizontal="center" vertical="center"/>
    </xf>
    <xf numFmtId="0" fontId="5" fillId="0" borderId="0" xfId="0" applyFont="1"/>
    <xf numFmtId="0" fontId="5" fillId="0" borderId="2" xfId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3" fontId="5" fillId="0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left" vertical="center"/>
    </xf>
    <xf numFmtId="164" fontId="29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39" borderId="1" xfId="1" applyFont="1" applyFill="1" applyBorder="1" applyAlignment="1">
      <alignment horizontal="center" vertical="center"/>
    </xf>
    <xf numFmtId="0" fontId="5" fillId="39" borderId="2" xfId="1" applyFont="1" applyFill="1" applyBorder="1" applyAlignment="1">
      <alignment horizontal="center" vertical="center"/>
    </xf>
    <xf numFmtId="9" fontId="6" fillId="3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6" fillId="0" borderId="1" xfId="0" applyFont="1" applyBorder="1" applyAlignment="1">
      <alignment horizont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5" fillId="0" borderId="1" xfId="0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0" borderId="0" xfId="0" applyFont="1" applyBorder="1" applyAlignment="1">
      <alignment vertical="center"/>
    </xf>
    <xf numFmtId="1" fontId="5" fillId="0" borderId="0" xfId="0" applyNumberFormat="1" applyFont="1" applyBorder="1" applyAlignment="1">
      <alignment vertical="center"/>
    </xf>
    <xf numFmtId="0" fontId="5" fillId="0" borderId="0" xfId="0" quotePrefix="1" applyFont="1" applyBorder="1" applyAlignment="1">
      <alignment vertical="center"/>
    </xf>
    <xf numFmtId="0" fontId="33" fillId="0" borderId="1" xfId="0" applyNumberFormat="1" applyFont="1" applyFill="1" applyBorder="1" applyAlignment="1">
      <alignment horizontal="center" vertical="center"/>
    </xf>
    <xf numFmtId="164" fontId="6" fillId="40" borderId="1" xfId="0" applyNumberFormat="1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4" borderId="1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164" fontId="5" fillId="0" borderId="1" xfId="0" applyNumberFormat="1" applyFont="1" applyBorder="1" applyAlignment="1" applyProtection="1">
      <alignment horizontal="center" vertical="center"/>
      <protection hidden="1"/>
    </xf>
    <xf numFmtId="1" fontId="5" fillId="0" borderId="1" xfId="0" applyNumberFormat="1" applyFont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left" vertical="center"/>
      <protection hidden="1"/>
    </xf>
    <xf numFmtId="0" fontId="6" fillId="37" borderId="1" xfId="0" applyFont="1" applyFill="1" applyBorder="1" applyAlignment="1" applyProtection="1">
      <alignment horizontal="center" vertical="center"/>
      <protection hidden="1"/>
    </xf>
    <xf numFmtId="0" fontId="6" fillId="37" borderId="1" xfId="0" applyFont="1" applyFill="1" applyBorder="1" applyAlignment="1" applyProtection="1">
      <alignment horizontal="center" vertical="center" wrapText="1"/>
      <protection hidden="1"/>
    </xf>
    <xf numFmtId="0" fontId="6" fillId="38" borderId="1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 vertical="center"/>
    </xf>
    <xf numFmtId="0" fontId="32" fillId="0" borderId="0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horizontal="left" vertical="center"/>
    </xf>
    <xf numFmtId="0" fontId="28" fillId="0" borderId="0" xfId="0" applyFont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3" fillId="0" borderId="0" xfId="0" applyFont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</xf>
    <xf numFmtId="0" fontId="9" fillId="0" borderId="21" xfId="0" applyFont="1" applyFill="1" applyBorder="1" applyAlignment="1" applyProtection="1">
      <alignment horizontal="left" vertical="center"/>
    </xf>
    <xf numFmtId="0" fontId="9" fillId="0" borderId="22" xfId="0" applyFont="1" applyFill="1" applyBorder="1" applyAlignment="1" applyProtection="1">
      <alignment horizontal="left" vertical="center"/>
    </xf>
    <xf numFmtId="0" fontId="9" fillId="0" borderId="16" xfId="0" applyFont="1" applyFill="1" applyBorder="1" applyAlignment="1" applyProtection="1">
      <alignment horizontal="left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9" fillId="36" borderId="2" xfId="0" applyFont="1" applyFill="1" applyBorder="1" applyAlignment="1">
      <alignment horizontal="center" vertical="center"/>
    </xf>
    <xf numFmtId="0" fontId="9" fillId="36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</cellXfs>
  <cellStyles count="91">
    <cellStyle name="20% - Accent1" xfId="19" builtinId="30" customBuiltin="1"/>
    <cellStyle name="20% - Accent1 2" xfId="46" xr:uid="{00000000-0005-0000-0000-000001000000}"/>
    <cellStyle name="20% - Accent1 2 2" xfId="78" xr:uid="{00000000-0005-0000-0000-000002000000}"/>
    <cellStyle name="20% - Accent1 3" xfId="60" xr:uid="{00000000-0005-0000-0000-000003000000}"/>
    <cellStyle name="20% - Accent2" xfId="23" builtinId="34" customBuiltin="1"/>
    <cellStyle name="20% - Accent2 2" xfId="48" xr:uid="{00000000-0005-0000-0000-000005000000}"/>
    <cellStyle name="20% - Accent2 2 2" xfId="80" xr:uid="{00000000-0005-0000-0000-000006000000}"/>
    <cellStyle name="20% - Accent2 3" xfId="62" xr:uid="{00000000-0005-0000-0000-000007000000}"/>
    <cellStyle name="20% - Accent3" xfId="27" builtinId="38" customBuiltin="1"/>
    <cellStyle name="20% - Accent3 2" xfId="50" xr:uid="{00000000-0005-0000-0000-000009000000}"/>
    <cellStyle name="20% - Accent3 2 2" xfId="82" xr:uid="{00000000-0005-0000-0000-00000A000000}"/>
    <cellStyle name="20% - Accent3 3" xfId="64" xr:uid="{00000000-0005-0000-0000-00000B000000}"/>
    <cellStyle name="20% - Accent4" xfId="31" builtinId="42" customBuiltin="1"/>
    <cellStyle name="20% - Accent4 2" xfId="52" xr:uid="{00000000-0005-0000-0000-00000D000000}"/>
    <cellStyle name="20% - Accent4 2 2" xfId="84" xr:uid="{00000000-0005-0000-0000-00000E000000}"/>
    <cellStyle name="20% - Accent4 3" xfId="66" xr:uid="{00000000-0005-0000-0000-00000F000000}"/>
    <cellStyle name="20% - Accent5" xfId="35" builtinId="46" customBuiltin="1"/>
    <cellStyle name="20% - Accent5 2" xfId="54" xr:uid="{00000000-0005-0000-0000-000011000000}"/>
    <cellStyle name="20% - Accent5 2 2" xfId="86" xr:uid="{00000000-0005-0000-0000-000012000000}"/>
    <cellStyle name="20% - Accent5 3" xfId="68" xr:uid="{00000000-0005-0000-0000-000013000000}"/>
    <cellStyle name="20% - Accent6" xfId="39" builtinId="50" customBuiltin="1"/>
    <cellStyle name="20% - Accent6 2" xfId="56" xr:uid="{00000000-0005-0000-0000-000015000000}"/>
    <cellStyle name="20% - Accent6 2 2" xfId="88" xr:uid="{00000000-0005-0000-0000-000016000000}"/>
    <cellStyle name="20% - Accent6 3" xfId="70" xr:uid="{00000000-0005-0000-0000-000017000000}"/>
    <cellStyle name="40% - Accent1" xfId="20" builtinId="31" customBuiltin="1"/>
    <cellStyle name="40% - Accent1 2" xfId="47" xr:uid="{00000000-0005-0000-0000-000019000000}"/>
    <cellStyle name="40% - Accent1 2 2" xfId="79" xr:uid="{00000000-0005-0000-0000-00001A000000}"/>
    <cellStyle name="40% - Accent1 3" xfId="61" xr:uid="{00000000-0005-0000-0000-00001B000000}"/>
    <cellStyle name="40% - Accent2" xfId="24" builtinId="35" customBuiltin="1"/>
    <cellStyle name="40% - Accent2 2" xfId="49" xr:uid="{00000000-0005-0000-0000-00001D000000}"/>
    <cellStyle name="40% - Accent2 2 2" xfId="81" xr:uid="{00000000-0005-0000-0000-00001E000000}"/>
    <cellStyle name="40% - Accent2 3" xfId="63" xr:uid="{00000000-0005-0000-0000-00001F000000}"/>
    <cellStyle name="40% - Accent3" xfId="28" builtinId="39" customBuiltin="1"/>
    <cellStyle name="40% - Accent3 2" xfId="51" xr:uid="{00000000-0005-0000-0000-000021000000}"/>
    <cellStyle name="40% - Accent3 2 2" xfId="83" xr:uid="{00000000-0005-0000-0000-000022000000}"/>
    <cellStyle name="40% - Accent3 3" xfId="65" xr:uid="{00000000-0005-0000-0000-000023000000}"/>
    <cellStyle name="40% - Accent4" xfId="32" builtinId="43" customBuiltin="1"/>
    <cellStyle name="40% - Accent4 2" xfId="53" xr:uid="{00000000-0005-0000-0000-000025000000}"/>
    <cellStyle name="40% - Accent4 2 2" xfId="85" xr:uid="{00000000-0005-0000-0000-000026000000}"/>
    <cellStyle name="40% - Accent4 3" xfId="67" xr:uid="{00000000-0005-0000-0000-000027000000}"/>
    <cellStyle name="40% - Accent5" xfId="36" builtinId="47" customBuiltin="1"/>
    <cellStyle name="40% - Accent5 2" xfId="55" xr:uid="{00000000-0005-0000-0000-000029000000}"/>
    <cellStyle name="40% - Accent5 2 2" xfId="87" xr:uid="{00000000-0005-0000-0000-00002A000000}"/>
    <cellStyle name="40% - Accent5 3" xfId="69" xr:uid="{00000000-0005-0000-0000-00002B000000}"/>
    <cellStyle name="40% - Accent6" xfId="40" builtinId="51" customBuiltin="1"/>
    <cellStyle name="40% - Accent6 2" xfId="57" xr:uid="{00000000-0005-0000-0000-00002D000000}"/>
    <cellStyle name="40% - Accent6 2 2" xfId="89" xr:uid="{00000000-0005-0000-0000-00002E000000}"/>
    <cellStyle name="40% - Accent6 3" xfId="71" xr:uid="{00000000-0005-0000-0000-00002F000000}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49000000}"/>
    <cellStyle name="Normal 2 2" xfId="73" xr:uid="{00000000-0005-0000-0000-00004A000000}"/>
    <cellStyle name="Normal 3" xfId="42" xr:uid="{00000000-0005-0000-0000-00004B000000}"/>
    <cellStyle name="Normal 3 2" xfId="74" xr:uid="{00000000-0005-0000-0000-00004C000000}"/>
    <cellStyle name="Normal 4" xfId="44" xr:uid="{00000000-0005-0000-0000-00004D000000}"/>
    <cellStyle name="Normal 4 2" xfId="76" xr:uid="{00000000-0005-0000-0000-00004E000000}"/>
    <cellStyle name="Normal 5" xfId="58" xr:uid="{00000000-0005-0000-0000-00004F000000}"/>
    <cellStyle name="Normal 5 2" xfId="90" xr:uid="{00000000-0005-0000-0000-000050000000}"/>
    <cellStyle name="Normal 6" xfId="72" xr:uid="{00000000-0005-0000-0000-000051000000}"/>
    <cellStyle name="Normal 7" xfId="59" xr:uid="{00000000-0005-0000-0000-000052000000}"/>
    <cellStyle name="Note 2" xfId="43" xr:uid="{00000000-0005-0000-0000-000053000000}"/>
    <cellStyle name="Note 2 2" xfId="75" xr:uid="{00000000-0005-0000-0000-000054000000}"/>
    <cellStyle name="Note 3" xfId="45" xr:uid="{00000000-0005-0000-0000-000055000000}"/>
    <cellStyle name="Note 3 2" xfId="77" xr:uid="{00000000-0005-0000-0000-000056000000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BCE292"/>
      <color rgb="FFFFFF99"/>
      <color rgb="FFEA0000"/>
      <color rgb="FFFF1515"/>
      <color rgb="FFFF0000"/>
      <color rgb="FFFF5050"/>
      <color rgb="FFF79646"/>
      <color rgb="FF00FF00"/>
      <color rgb="FF66FF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7620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 CRCP Overlay Thickness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1</xdr:col>
      <xdr:colOff>0</xdr:colOff>
      <xdr:row>27</xdr:row>
      <xdr:rowOff>0</xdr:rowOff>
    </xdr:from>
    <xdr:to>
      <xdr:col>2</xdr:col>
      <xdr:colOff>851177</xdr:colOff>
      <xdr:row>36</xdr:row>
      <xdr:rowOff>2</xdr:rowOff>
    </xdr:to>
    <xdr:pic>
      <xdr:nvPicPr>
        <xdr:cNvPr id="3" name="Picture 2" descr="FIDIC | | International Federation of Consulting Engineer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16" y="4411579"/>
          <a:ext cx="4230045" cy="14437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160020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Input Worksheet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B1:G36"/>
  <sheetViews>
    <sheetView tabSelected="1" zoomScale="95" zoomScaleNormal="95" workbookViewId="0">
      <selection activeCell="C25" sqref="C25"/>
    </sheetView>
  </sheetViews>
  <sheetFormatPr defaultColWidth="9.109375" defaultRowHeight="13.2" x14ac:dyDescent="0.25"/>
  <cols>
    <col min="1" max="1" width="4.6640625" style="14" customWidth="1"/>
    <col min="2" max="2" width="50.6640625" style="14" customWidth="1"/>
    <col min="3" max="3" width="12.6640625" style="14" customWidth="1"/>
    <col min="4" max="4" width="8.6640625" style="14" customWidth="1"/>
    <col min="5" max="5" width="50.6640625" style="14" customWidth="1"/>
    <col min="6" max="6" width="15.6640625" style="14" customWidth="1"/>
    <col min="7" max="16384" width="9.109375" style="14"/>
  </cols>
  <sheetData>
    <row r="1" spans="2:7" ht="18.75" customHeight="1" x14ac:dyDescent="0.25">
      <c r="B1" s="83" t="s">
        <v>516</v>
      </c>
      <c r="C1" s="83"/>
      <c r="D1" s="83"/>
      <c r="E1" s="83"/>
      <c r="F1" s="83"/>
      <c r="G1" s="15"/>
    </row>
    <row r="2" spans="2:7" ht="12.75" customHeight="1" x14ac:dyDescent="0.25">
      <c r="B2" s="84"/>
      <c r="C2" s="85"/>
      <c r="D2" s="85"/>
      <c r="E2" s="85"/>
      <c r="F2" s="85"/>
      <c r="G2" s="15"/>
    </row>
    <row r="3" spans="2:7" ht="12.75" customHeight="1" x14ac:dyDescent="0.25">
      <c r="B3" s="81"/>
      <c r="C3" s="81"/>
      <c r="D3" s="81"/>
      <c r="E3" s="81"/>
      <c r="F3" s="81"/>
      <c r="G3" s="15"/>
    </row>
    <row r="4" spans="2:7" ht="12.75" customHeight="1" x14ac:dyDescent="0.25">
      <c r="B4" s="80"/>
      <c r="C4" s="80"/>
      <c r="D4" s="17"/>
      <c r="E4" s="80"/>
      <c r="F4" s="80"/>
    </row>
    <row r="5" spans="2:7" ht="12.75" customHeight="1" x14ac:dyDescent="0.25">
      <c r="B5" s="86" t="s">
        <v>88</v>
      </c>
      <c r="C5" s="86"/>
      <c r="D5" s="17"/>
      <c r="E5" s="86" t="s">
        <v>92</v>
      </c>
      <c r="F5" s="86"/>
    </row>
    <row r="6" spans="2:7" ht="12.75" customHeight="1" x14ac:dyDescent="0.25">
      <c r="B6" s="80"/>
      <c r="C6" s="80"/>
      <c r="D6" s="17"/>
      <c r="E6" s="87"/>
      <c r="F6" s="87"/>
    </row>
    <row r="7" spans="2:7" ht="12.75" customHeight="1" x14ac:dyDescent="0.25">
      <c r="B7" s="24" t="s">
        <v>369</v>
      </c>
      <c r="C7" s="30">
        <f>VLOOKUP(C8,Temperature!A2:B122,2,FALSE)</f>
        <v>2</v>
      </c>
      <c r="D7" s="17"/>
      <c r="E7" s="21" t="s">
        <v>519</v>
      </c>
      <c r="F7" s="22">
        <v>30</v>
      </c>
    </row>
    <row r="8" spans="2:7" ht="12.75" customHeight="1" x14ac:dyDescent="0.25">
      <c r="B8" s="21" t="s">
        <v>520</v>
      </c>
      <c r="C8" s="22" t="s">
        <v>438</v>
      </c>
      <c r="D8" s="17"/>
      <c r="E8" s="21" t="s">
        <v>355</v>
      </c>
      <c r="F8" s="22">
        <v>5</v>
      </c>
    </row>
    <row r="9" spans="2:7" ht="12.75" customHeight="1" x14ac:dyDescent="0.25">
      <c r="B9" s="21" t="s">
        <v>84</v>
      </c>
      <c r="C9" s="22"/>
      <c r="D9" s="17"/>
      <c r="E9" s="50"/>
      <c r="F9" s="51"/>
    </row>
    <row r="10" spans="2:7" ht="12.75" customHeight="1" x14ac:dyDescent="0.25">
      <c r="B10" s="21" t="s">
        <v>521</v>
      </c>
      <c r="C10" s="22"/>
      <c r="D10" s="17"/>
      <c r="E10" s="80"/>
      <c r="F10" s="80"/>
    </row>
    <row r="11" spans="2:7" ht="12.75" customHeight="1" x14ac:dyDescent="0.25">
      <c r="B11" s="21" t="s">
        <v>85</v>
      </c>
      <c r="C11" s="22"/>
      <c r="D11" s="17"/>
      <c r="E11" s="86" t="s">
        <v>353</v>
      </c>
      <c r="F11" s="86"/>
    </row>
    <row r="12" spans="2:7" ht="12.75" customHeight="1" x14ac:dyDescent="0.25">
      <c r="B12" s="21" t="s">
        <v>86</v>
      </c>
      <c r="C12" s="22"/>
      <c r="D12" s="17"/>
      <c r="E12" s="87"/>
      <c r="F12" s="87"/>
    </row>
    <row r="13" spans="2:7" ht="12.75" customHeight="1" x14ac:dyDescent="0.25">
      <c r="B13" s="21" t="s">
        <v>87</v>
      </c>
      <c r="C13" s="22"/>
      <c r="D13" s="17"/>
      <c r="E13" s="21" t="s">
        <v>93</v>
      </c>
      <c r="F13" s="22" t="s">
        <v>57</v>
      </c>
    </row>
    <row r="14" spans="2:7" ht="12.75" customHeight="1" x14ac:dyDescent="0.25">
      <c r="B14" s="80"/>
      <c r="C14" s="80"/>
      <c r="D14" s="17"/>
      <c r="E14" s="21" t="s">
        <v>94</v>
      </c>
      <c r="F14" s="22" t="s">
        <v>70</v>
      </c>
    </row>
    <row r="15" spans="2:7" ht="12.75" customHeight="1" x14ac:dyDescent="0.25">
      <c r="B15" s="80"/>
      <c r="C15" s="80"/>
      <c r="D15" s="17"/>
      <c r="E15" s="21" t="s">
        <v>95</v>
      </c>
      <c r="F15" s="22" t="s">
        <v>352</v>
      </c>
    </row>
    <row r="16" spans="2:7" ht="12.75" customHeight="1" x14ac:dyDescent="0.25">
      <c r="B16" s="86" t="s">
        <v>89</v>
      </c>
      <c r="C16" s="86"/>
      <c r="D16" s="17"/>
      <c r="E16" s="21" t="s">
        <v>356</v>
      </c>
      <c r="F16" s="22">
        <v>15</v>
      </c>
    </row>
    <row r="17" spans="2:6" ht="12.75" customHeight="1" x14ac:dyDescent="0.25">
      <c r="B17" s="80"/>
      <c r="C17" s="80"/>
      <c r="D17" s="17"/>
      <c r="E17" s="21" t="s">
        <v>357</v>
      </c>
      <c r="F17" s="22">
        <v>6000</v>
      </c>
    </row>
    <row r="18" spans="2:6" ht="12.75" customHeight="1" x14ac:dyDescent="0.25">
      <c r="B18" s="24" t="s">
        <v>90</v>
      </c>
      <c r="C18" s="30">
        <v>20</v>
      </c>
      <c r="D18" s="17"/>
      <c r="E18" s="88"/>
      <c r="F18" s="88"/>
    </row>
    <row r="19" spans="2:6" ht="12.75" customHeight="1" x14ac:dyDescent="0.25">
      <c r="B19" s="24" t="s">
        <v>359</v>
      </c>
      <c r="C19" s="30">
        <v>6</v>
      </c>
      <c r="D19" s="17"/>
      <c r="E19" s="24" t="s">
        <v>358</v>
      </c>
      <c r="F19" s="25">
        <f>'Composite K'!E2</f>
        <v>500</v>
      </c>
    </row>
    <row r="20" spans="2:6" ht="12.75" customHeight="1" x14ac:dyDescent="0.25">
      <c r="B20" s="82"/>
      <c r="C20" s="82"/>
      <c r="D20" s="17"/>
      <c r="E20" s="89"/>
      <c r="F20" s="89"/>
    </row>
    <row r="21" spans="2:6" ht="12.75" customHeight="1" x14ac:dyDescent="0.25">
      <c r="B21" s="80"/>
      <c r="C21" s="80"/>
      <c r="D21" s="17"/>
      <c r="E21" s="80"/>
      <c r="F21" s="80"/>
    </row>
    <row r="22" spans="2:6" ht="12.75" customHeight="1" x14ac:dyDescent="0.25">
      <c r="B22" s="86" t="s">
        <v>91</v>
      </c>
      <c r="C22" s="86"/>
      <c r="D22" s="17"/>
      <c r="E22" s="80"/>
      <c r="F22" s="80"/>
    </row>
    <row r="23" spans="2:6" ht="12.75" customHeight="1" x14ac:dyDescent="0.25">
      <c r="B23" s="80"/>
      <c r="C23" s="80"/>
      <c r="D23" s="17"/>
      <c r="E23" s="80"/>
      <c r="F23" s="80"/>
    </row>
    <row r="24" spans="2:6" ht="12.75" customHeight="1" x14ac:dyDescent="0.25">
      <c r="B24" s="21" t="s">
        <v>97</v>
      </c>
      <c r="C24" s="23">
        <v>2</v>
      </c>
      <c r="D24" s="17"/>
      <c r="E24" s="80"/>
      <c r="F24" s="80"/>
    </row>
    <row r="25" spans="2:6" ht="12.75" customHeight="1" x14ac:dyDescent="0.25">
      <c r="B25" s="21" t="s">
        <v>351</v>
      </c>
      <c r="C25" s="23">
        <v>60</v>
      </c>
      <c r="D25" s="17"/>
      <c r="E25" s="80"/>
      <c r="F25" s="80"/>
    </row>
    <row r="26" spans="2:6" ht="12.75" customHeight="1" x14ac:dyDescent="0.25">
      <c r="B26" s="82"/>
      <c r="C26" s="82"/>
      <c r="D26" s="17"/>
      <c r="E26" s="80"/>
      <c r="F26" s="80"/>
    </row>
    <row r="27" spans="2:6" ht="12.75" customHeight="1" x14ac:dyDescent="0.25">
      <c r="B27" s="80"/>
      <c r="C27" s="80"/>
      <c r="D27" s="17"/>
      <c r="E27" s="80"/>
      <c r="F27" s="80"/>
    </row>
    <row r="28" spans="2:6" x14ac:dyDescent="0.25">
      <c r="B28" s="16"/>
      <c r="C28" s="17"/>
      <c r="D28" s="17"/>
      <c r="E28" s="16"/>
      <c r="F28" s="17"/>
    </row>
    <row r="29" spans="2:6" x14ac:dyDescent="0.25">
      <c r="B29" s="16"/>
      <c r="C29" s="17"/>
      <c r="D29" s="17"/>
      <c r="E29" s="16"/>
      <c r="F29" s="17"/>
    </row>
    <row r="30" spans="2:6" x14ac:dyDescent="0.25">
      <c r="B30" s="16"/>
      <c r="C30" s="17"/>
      <c r="D30" s="17"/>
      <c r="E30" s="16"/>
      <c r="F30" s="17"/>
    </row>
    <row r="31" spans="2:6" x14ac:dyDescent="0.25">
      <c r="B31" s="16"/>
      <c r="C31" s="17"/>
      <c r="D31" s="17"/>
      <c r="E31" s="16"/>
      <c r="F31" s="17"/>
    </row>
    <row r="32" spans="2:6" x14ac:dyDescent="0.25">
      <c r="B32" s="16"/>
      <c r="C32" s="17"/>
      <c r="D32" s="17"/>
      <c r="E32" s="16"/>
      <c r="F32" s="17"/>
    </row>
    <row r="33" spans="2:6" x14ac:dyDescent="0.25">
      <c r="B33" s="16"/>
      <c r="C33" s="17"/>
      <c r="D33" s="17"/>
      <c r="E33" s="16"/>
      <c r="F33" s="17"/>
    </row>
    <row r="34" spans="2:6" x14ac:dyDescent="0.25">
      <c r="B34" s="16"/>
      <c r="C34" s="17"/>
      <c r="D34" s="17"/>
      <c r="E34" s="16"/>
      <c r="F34" s="17"/>
    </row>
    <row r="35" spans="2:6" x14ac:dyDescent="0.25">
      <c r="B35" s="16"/>
      <c r="C35" s="17"/>
      <c r="D35" s="17"/>
      <c r="E35" s="16"/>
      <c r="F35" s="17"/>
    </row>
    <row r="36" spans="2:6" x14ac:dyDescent="0.25">
      <c r="B36" s="16"/>
      <c r="C36" s="17"/>
      <c r="D36" s="17"/>
      <c r="E36" s="16"/>
      <c r="F36" s="17"/>
    </row>
  </sheetData>
  <mergeCells count="31">
    <mergeCell ref="B1:F1"/>
    <mergeCell ref="B2:F2"/>
    <mergeCell ref="B22:C22"/>
    <mergeCell ref="B16:C16"/>
    <mergeCell ref="B5:C5"/>
    <mergeCell ref="E5:F5"/>
    <mergeCell ref="E11:F11"/>
    <mergeCell ref="E6:F6"/>
    <mergeCell ref="E12:F12"/>
    <mergeCell ref="E10:F10"/>
    <mergeCell ref="E18:F18"/>
    <mergeCell ref="E20:F20"/>
    <mergeCell ref="B17:C17"/>
    <mergeCell ref="B20:C20"/>
    <mergeCell ref="B21:C21"/>
    <mergeCell ref="E27:F27"/>
    <mergeCell ref="B4:C4"/>
    <mergeCell ref="B27:C27"/>
    <mergeCell ref="B3:F3"/>
    <mergeCell ref="B26:C26"/>
    <mergeCell ref="E26:F26"/>
    <mergeCell ref="E24:F24"/>
    <mergeCell ref="E25:F25"/>
    <mergeCell ref="B6:C6"/>
    <mergeCell ref="B23:C23"/>
    <mergeCell ref="E22:F22"/>
    <mergeCell ref="E4:F4"/>
    <mergeCell ref="E23:F23"/>
    <mergeCell ref="E21:F21"/>
    <mergeCell ref="B14:C14"/>
    <mergeCell ref="B15:C15"/>
  </mergeCells>
  <phoneticPr fontId="27" type="noConversion"/>
  <dataValidations count="7">
    <dataValidation type="decimal" allowBlank="1" showErrorMessage="1" errorTitle="Thickness of Existing Conc Layer" error="Out of Range - Please Enter a Value between 25 and 35." sqref="F7" xr:uid="{00000000-0002-0000-0000-000000000000}">
      <formula1>25</formula1>
      <formula2>35</formula2>
    </dataValidation>
    <dataValidation type="list" allowBlank="1" showErrorMessage="1" errorTitle="Soil Classification of Subgrade" error="Please Select from Drop-Down List." sqref="F14" xr:uid="{00000000-0002-0000-0000-000001000000}">
      <formula1>INDIRECT(F13)</formula1>
    </dataValidation>
    <dataValidation type="decimal" allowBlank="1" showErrorMessage="1" errorTitle="Base Thickness" error="Out of Range – Please Enter a Value between 10 and 20." sqref="F16" xr:uid="{00000000-0002-0000-0000-000002000000}">
      <formula1>10</formula1>
      <formula2>20</formula2>
    </dataValidation>
    <dataValidation type="decimal" allowBlank="1" showInputMessage="1" showErrorMessage="1" errorTitle="Modulus of Base Layer" error="Out of Range – Please Enter a Value between 0 and 50000." sqref="F17" xr:uid="{C454C0DD-000B-4137-BDF7-E18D0228A134}">
      <formula1>0</formula1>
      <formula2>50000</formula2>
    </dataValidation>
    <dataValidation type="decimal" allowBlank="1" showErrorMessage="1" errorTitle="Thickness of Existing Concrete" error="Out of Range - Please Enter a Value between 15 and 20." sqref="F9" xr:uid="{4A70BA8D-72D4-45A6-973B-9D9E21009BE2}">
      <formula1>15</formula1>
      <formula2>20</formula2>
    </dataValidation>
    <dataValidation type="decimal" allowBlank="1" showInputMessage="1" showErrorMessage="1" errorTitle="28-day Modulus of Rupture" error="Out of Range – Please Enter a Value between 4 and 5." sqref="F8" xr:uid="{3300F2D8-D8E2-4F34-802E-D3A59ECE82BD}">
      <formula1>4</formula1>
      <formula2>5</formula2>
    </dataValidation>
    <dataValidation type="decimal" allowBlank="1" showInputMessage="1" showErrorMessage="1" errorTitle="Composite K" error="Out of Range – Please Enter a Value between 100 to 500." sqref="F19" xr:uid="{EDEC3FF2-F80F-4BAC-B85F-72EFD972E01A}">
      <formula1>100</formula1>
      <formula2>500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locked="0" defaultSize="0" print="0" autoFill="0" autoPict="0" macro="[0]!Sheet6.main">
                <anchor moveWithCells="1" sizeWithCells="1">
                  <from>
                    <xdr:col>4</xdr:col>
                    <xdr:colOff>0</xdr:colOff>
                    <xdr:row>21</xdr:row>
                    <xdr:rowOff>7620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County" error="Please Select from Drop-Down List" xr:uid="{00000000-0002-0000-0000-000005000000}">
          <x14:formula1>
            <xm:f>Temperature!$A$2:$A$122</xm:f>
          </x14:formula1>
          <xm:sqref>C8</xm:sqref>
        </x14:dataValidation>
        <x14:dataValidation type="list" allowBlank="1" showErrorMessage="1" errorTitle="Base Type" error="Please Select from Drop-Down List." xr:uid="{00000000-0002-0000-0000-000006000000}">
          <x14:formula1>
            <xm:f>'Soil Classification'!$A$23:$A$26</xm:f>
          </x14:formula1>
          <xm:sqref>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9" tint="0.39997558519241921"/>
  </sheetPr>
  <dimension ref="A1:E605"/>
  <sheetViews>
    <sheetView zoomScale="95" zoomScaleNormal="95" workbookViewId="0">
      <pane ySplit="1" topLeftCell="A2" activePane="bottomLeft" state="frozen"/>
      <selection pane="bottomLeft" activeCell="D32" sqref="D32"/>
    </sheetView>
  </sheetViews>
  <sheetFormatPr defaultColWidth="9.109375" defaultRowHeight="13.2" x14ac:dyDescent="0.25"/>
  <cols>
    <col min="1" max="4" width="25.6640625" style="5" customWidth="1"/>
    <col min="5" max="5" width="9.109375" style="5" customWidth="1"/>
    <col min="6" max="16384" width="9.109375" style="5"/>
  </cols>
  <sheetData>
    <row r="1" spans="1:5" ht="38.25" customHeight="1" x14ac:dyDescent="0.25">
      <c r="A1" s="2" t="s">
        <v>370</v>
      </c>
      <c r="B1" s="2" t="s">
        <v>369</v>
      </c>
      <c r="C1" s="2" t="s">
        <v>496</v>
      </c>
      <c r="D1" s="2" t="s">
        <v>497</v>
      </c>
    </row>
    <row r="2" spans="1:5" x14ac:dyDescent="0.25">
      <c r="A2" s="35" t="s">
        <v>375</v>
      </c>
      <c r="B2" s="35">
        <v>1</v>
      </c>
      <c r="C2" s="35">
        <v>35.5</v>
      </c>
      <c r="D2" s="35">
        <v>-6.2</v>
      </c>
      <c r="E2" s="20"/>
    </row>
    <row r="3" spans="1:5" x14ac:dyDescent="0.25">
      <c r="A3" s="35" t="s">
        <v>376</v>
      </c>
      <c r="B3" s="35">
        <v>1</v>
      </c>
      <c r="C3" s="35">
        <v>35.299999999999997</v>
      </c>
      <c r="D3" s="35">
        <v>-6.9</v>
      </c>
    </row>
    <row r="4" spans="1:5" x14ac:dyDescent="0.25">
      <c r="A4" s="35" t="s">
        <v>377</v>
      </c>
      <c r="B4" s="35">
        <v>1</v>
      </c>
      <c r="C4" s="35">
        <v>35.799999999999997</v>
      </c>
      <c r="D4" s="35">
        <v>-6.4</v>
      </c>
    </row>
    <row r="5" spans="1:5" x14ac:dyDescent="0.25">
      <c r="A5" s="35" t="s">
        <v>378</v>
      </c>
      <c r="B5" s="35">
        <v>1</v>
      </c>
      <c r="C5" s="35">
        <v>37</v>
      </c>
      <c r="D5" s="35">
        <v>-5.8</v>
      </c>
    </row>
    <row r="6" spans="1:5" x14ac:dyDescent="0.25">
      <c r="A6" s="35" t="s">
        <v>379</v>
      </c>
      <c r="B6" s="35">
        <v>1</v>
      </c>
      <c r="C6" s="35">
        <v>34.9</v>
      </c>
      <c r="D6" s="35">
        <v>-8.6999999999999993</v>
      </c>
    </row>
    <row r="7" spans="1:5" x14ac:dyDescent="0.25">
      <c r="A7" s="35" t="s">
        <v>380</v>
      </c>
      <c r="B7" s="35">
        <v>1</v>
      </c>
      <c r="C7" s="35">
        <v>35.5</v>
      </c>
      <c r="D7" s="35">
        <v>-9.5</v>
      </c>
    </row>
    <row r="8" spans="1:5" x14ac:dyDescent="0.25">
      <c r="A8" s="35" t="s">
        <v>381</v>
      </c>
      <c r="B8" s="35">
        <v>1</v>
      </c>
      <c r="C8" s="35">
        <v>36.9</v>
      </c>
      <c r="D8" s="35">
        <v>-9.1</v>
      </c>
    </row>
    <row r="9" spans="1:5" x14ac:dyDescent="0.25">
      <c r="A9" s="35" t="s">
        <v>382</v>
      </c>
      <c r="B9" s="35">
        <v>1</v>
      </c>
      <c r="C9" s="35">
        <v>35.9</v>
      </c>
      <c r="D9" s="35">
        <v>-10.4</v>
      </c>
    </row>
    <row r="10" spans="1:5" x14ac:dyDescent="0.25">
      <c r="A10" s="35" t="s">
        <v>383</v>
      </c>
      <c r="B10" s="35">
        <v>1</v>
      </c>
      <c r="C10" s="35">
        <v>35.4</v>
      </c>
      <c r="D10" s="35">
        <v>-11.5</v>
      </c>
    </row>
    <row r="11" spans="1:5" x14ac:dyDescent="0.25">
      <c r="A11" s="35" t="s">
        <v>384</v>
      </c>
      <c r="B11" s="35">
        <v>1</v>
      </c>
      <c r="C11" s="35">
        <v>36.9</v>
      </c>
      <c r="D11" s="35">
        <v>-10.7</v>
      </c>
    </row>
    <row r="12" spans="1:5" x14ac:dyDescent="0.25">
      <c r="A12" s="35" t="s">
        <v>385</v>
      </c>
      <c r="B12" s="35">
        <v>1</v>
      </c>
      <c r="C12" s="35">
        <v>36.200000000000003</v>
      </c>
      <c r="D12" s="35">
        <v>-11.6</v>
      </c>
    </row>
    <row r="13" spans="1:5" x14ac:dyDescent="0.25">
      <c r="A13" s="35" t="s">
        <v>386</v>
      </c>
      <c r="B13" s="35">
        <v>1</v>
      </c>
      <c r="C13" s="35">
        <v>37.799999999999997</v>
      </c>
      <c r="D13" s="35">
        <v>-10.4</v>
      </c>
    </row>
    <row r="14" spans="1:5" x14ac:dyDescent="0.25">
      <c r="A14" s="36" t="s">
        <v>387</v>
      </c>
      <c r="B14" s="35">
        <v>1</v>
      </c>
      <c r="C14" s="35">
        <v>36.9</v>
      </c>
      <c r="D14" s="35">
        <v>-11.3</v>
      </c>
    </row>
    <row r="15" spans="1:5" x14ac:dyDescent="0.25">
      <c r="A15" s="36" t="s">
        <v>388</v>
      </c>
      <c r="B15" s="35">
        <v>1</v>
      </c>
      <c r="C15" s="35">
        <v>36</v>
      </c>
      <c r="D15" s="35">
        <v>-12.6</v>
      </c>
    </row>
    <row r="16" spans="1:5" x14ac:dyDescent="0.25">
      <c r="A16" s="36" t="s">
        <v>389</v>
      </c>
      <c r="B16" s="35">
        <v>1</v>
      </c>
      <c r="C16" s="35">
        <v>37.6</v>
      </c>
      <c r="D16" s="35">
        <v>-11.3</v>
      </c>
    </row>
    <row r="17" spans="1:4" x14ac:dyDescent="0.25">
      <c r="A17" s="36" t="s">
        <v>390</v>
      </c>
      <c r="B17" s="35">
        <v>1</v>
      </c>
      <c r="C17" s="35">
        <v>37.299999999999997</v>
      </c>
      <c r="D17" s="35">
        <v>-11.7</v>
      </c>
    </row>
    <row r="18" spans="1:4" x14ac:dyDescent="0.25">
      <c r="A18" s="36" t="s">
        <v>391</v>
      </c>
      <c r="B18" s="35">
        <v>1</v>
      </c>
      <c r="C18" s="35">
        <v>37.700000000000003</v>
      </c>
      <c r="D18" s="35">
        <v>-11.6</v>
      </c>
    </row>
    <row r="19" spans="1:4" x14ac:dyDescent="0.25">
      <c r="A19" s="36" t="s">
        <v>392</v>
      </c>
      <c r="B19" s="35">
        <v>1</v>
      </c>
      <c r="C19" s="35">
        <v>36.799999999999997</v>
      </c>
      <c r="D19" s="35">
        <v>-13.2</v>
      </c>
    </row>
    <row r="20" spans="1:4" x14ac:dyDescent="0.25">
      <c r="A20" s="29" t="s">
        <v>393</v>
      </c>
      <c r="B20" s="1">
        <v>2</v>
      </c>
      <c r="C20" s="1">
        <v>37.299999999999997</v>
      </c>
      <c r="D20" s="1">
        <v>-12.8</v>
      </c>
    </row>
    <row r="21" spans="1:4" x14ac:dyDescent="0.25">
      <c r="A21" s="29" t="s">
        <v>394</v>
      </c>
      <c r="B21" s="1">
        <v>2</v>
      </c>
      <c r="C21" s="1">
        <v>37.4</v>
      </c>
      <c r="D21" s="1">
        <v>-12.7</v>
      </c>
    </row>
    <row r="22" spans="1:4" x14ac:dyDescent="0.25">
      <c r="A22" s="29" t="s">
        <v>395</v>
      </c>
      <c r="B22" s="1">
        <v>2</v>
      </c>
      <c r="C22" s="1">
        <v>39.1</v>
      </c>
      <c r="D22" s="1">
        <v>-11.1</v>
      </c>
    </row>
    <row r="23" spans="1:4" x14ac:dyDescent="0.25">
      <c r="A23" s="29" t="s">
        <v>396</v>
      </c>
      <c r="B23" s="1">
        <v>2</v>
      </c>
      <c r="C23" s="1">
        <v>33.5</v>
      </c>
      <c r="D23" s="1">
        <v>-17.399999999999999</v>
      </c>
    </row>
    <row r="24" spans="1:4" x14ac:dyDescent="0.25">
      <c r="A24" s="29" t="s">
        <v>397</v>
      </c>
      <c r="B24" s="1">
        <v>2</v>
      </c>
      <c r="C24" s="1">
        <v>38.5</v>
      </c>
      <c r="D24" s="1">
        <v>-12.4</v>
      </c>
    </row>
    <row r="25" spans="1:4" x14ac:dyDescent="0.25">
      <c r="A25" s="29" t="s">
        <v>398</v>
      </c>
      <c r="B25" s="1">
        <v>2</v>
      </c>
      <c r="C25" s="1">
        <v>38.5</v>
      </c>
      <c r="D25" s="1">
        <v>-12.5</v>
      </c>
    </row>
    <row r="26" spans="1:4" x14ac:dyDescent="0.25">
      <c r="A26" s="29" t="s">
        <v>399</v>
      </c>
      <c r="B26" s="1">
        <v>2</v>
      </c>
      <c r="C26" s="1">
        <v>37.1</v>
      </c>
      <c r="D26" s="1">
        <v>-14</v>
      </c>
    </row>
    <row r="27" spans="1:4" x14ac:dyDescent="0.25">
      <c r="A27" s="29" t="s">
        <v>400</v>
      </c>
      <c r="B27" s="1">
        <v>2</v>
      </c>
      <c r="C27" s="1">
        <v>37.799999999999997</v>
      </c>
      <c r="D27" s="1">
        <v>-13.4</v>
      </c>
    </row>
    <row r="28" spans="1:4" x14ac:dyDescent="0.25">
      <c r="A28" s="29" t="s">
        <v>401</v>
      </c>
      <c r="B28" s="1">
        <v>2</v>
      </c>
      <c r="C28" s="1">
        <v>36.4</v>
      </c>
      <c r="D28" s="1">
        <v>-14.8</v>
      </c>
    </row>
    <row r="29" spans="1:4" x14ac:dyDescent="0.25">
      <c r="A29" s="29" t="s">
        <v>402</v>
      </c>
      <c r="B29" s="1">
        <v>2</v>
      </c>
      <c r="C29" s="1">
        <v>37.200000000000003</v>
      </c>
      <c r="D29" s="1">
        <v>-14.1</v>
      </c>
    </row>
    <row r="30" spans="1:4" x14ac:dyDescent="0.25">
      <c r="A30" s="29" t="s">
        <v>403</v>
      </c>
      <c r="B30" s="1">
        <v>2</v>
      </c>
      <c r="C30" s="1">
        <v>38.5</v>
      </c>
      <c r="D30" s="1">
        <v>-13.1</v>
      </c>
    </row>
    <row r="31" spans="1:4" x14ac:dyDescent="0.25">
      <c r="A31" s="29" t="s">
        <v>404</v>
      </c>
      <c r="B31" s="1">
        <v>2</v>
      </c>
      <c r="C31" s="1">
        <v>37.799999999999997</v>
      </c>
      <c r="D31" s="1">
        <v>-14</v>
      </c>
    </row>
    <row r="32" spans="1:4" x14ac:dyDescent="0.25">
      <c r="A32" s="29" t="s">
        <v>405</v>
      </c>
      <c r="B32" s="1">
        <v>2</v>
      </c>
      <c r="C32" s="1">
        <v>37.1</v>
      </c>
      <c r="D32" s="1">
        <v>-15</v>
      </c>
    </row>
    <row r="33" spans="1:4" x14ac:dyDescent="0.25">
      <c r="A33" s="29" t="s">
        <v>406</v>
      </c>
      <c r="B33" s="1">
        <v>2</v>
      </c>
      <c r="C33" s="1">
        <v>39.4</v>
      </c>
      <c r="D33" s="1">
        <v>-12.9</v>
      </c>
    </row>
    <row r="34" spans="1:4" x14ac:dyDescent="0.25">
      <c r="A34" s="29" t="s">
        <v>407</v>
      </c>
      <c r="B34" s="1">
        <v>2</v>
      </c>
      <c r="C34" s="1">
        <v>38.799999999999997</v>
      </c>
      <c r="D34" s="1">
        <v>-13.5</v>
      </c>
    </row>
    <row r="35" spans="1:4" x14ac:dyDescent="0.25">
      <c r="A35" s="29" t="s">
        <v>408</v>
      </c>
      <c r="B35" s="1">
        <v>2</v>
      </c>
      <c r="C35" s="1">
        <v>37.9</v>
      </c>
      <c r="D35" s="1">
        <v>-14.6</v>
      </c>
    </row>
    <row r="36" spans="1:4" x14ac:dyDescent="0.25">
      <c r="A36" s="29" t="s">
        <v>409</v>
      </c>
      <c r="B36" s="1">
        <v>2</v>
      </c>
      <c r="C36" s="1">
        <v>37.6</v>
      </c>
      <c r="D36" s="1">
        <v>-15.2</v>
      </c>
    </row>
    <row r="37" spans="1:4" x14ac:dyDescent="0.25">
      <c r="A37" s="29" t="s">
        <v>410</v>
      </c>
      <c r="B37" s="1">
        <v>2</v>
      </c>
      <c r="C37" s="1">
        <v>39.799999999999997</v>
      </c>
      <c r="D37" s="1">
        <v>-13</v>
      </c>
    </row>
    <row r="38" spans="1:4" x14ac:dyDescent="0.25">
      <c r="A38" s="29" t="s">
        <v>411</v>
      </c>
      <c r="B38" s="1">
        <v>2</v>
      </c>
      <c r="C38" s="1">
        <v>39.200000000000003</v>
      </c>
      <c r="D38" s="1">
        <v>-13.9</v>
      </c>
    </row>
    <row r="39" spans="1:4" x14ac:dyDescent="0.25">
      <c r="A39" s="29" t="s">
        <v>412</v>
      </c>
      <c r="B39" s="1">
        <v>2</v>
      </c>
      <c r="C39" s="1">
        <v>38.700000000000003</v>
      </c>
      <c r="D39" s="1">
        <v>-14.4</v>
      </c>
    </row>
    <row r="40" spans="1:4" x14ac:dyDescent="0.25">
      <c r="A40" s="29" t="s">
        <v>413</v>
      </c>
      <c r="B40" s="1">
        <v>2</v>
      </c>
      <c r="C40" s="1">
        <v>38.1</v>
      </c>
      <c r="D40" s="1">
        <v>-15.1</v>
      </c>
    </row>
    <row r="41" spans="1:4" x14ac:dyDescent="0.25">
      <c r="A41" s="29" t="s">
        <v>414</v>
      </c>
      <c r="B41" s="1">
        <v>2</v>
      </c>
      <c r="C41" s="1">
        <v>37.1</v>
      </c>
      <c r="D41" s="1">
        <v>-16.2</v>
      </c>
    </row>
    <row r="42" spans="1:4" x14ac:dyDescent="0.25">
      <c r="A42" s="29" t="s">
        <v>415</v>
      </c>
      <c r="B42" s="1">
        <v>2</v>
      </c>
      <c r="C42" s="1">
        <v>37.700000000000003</v>
      </c>
      <c r="D42" s="1">
        <v>-15.6</v>
      </c>
    </row>
    <row r="43" spans="1:4" x14ac:dyDescent="0.25">
      <c r="A43" s="29" t="s">
        <v>416</v>
      </c>
      <c r="B43" s="1">
        <v>2</v>
      </c>
      <c r="C43" s="1">
        <v>37.9</v>
      </c>
      <c r="D43" s="1">
        <v>-15.6</v>
      </c>
    </row>
    <row r="44" spans="1:4" x14ac:dyDescent="0.25">
      <c r="A44" s="29" t="s">
        <v>417</v>
      </c>
      <c r="B44" s="1">
        <v>2</v>
      </c>
      <c r="C44" s="1">
        <v>38.4</v>
      </c>
      <c r="D44" s="1">
        <v>-15.1</v>
      </c>
    </row>
    <row r="45" spans="1:4" x14ac:dyDescent="0.25">
      <c r="A45" s="29" t="s">
        <v>418</v>
      </c>
      <c r="B45" s="1">
        <v>2</v>
      </c>
      <c r="C45" s="1">
        <v>37.799999999999997</v>
      </c>
      <c r="D45" s="1">
        <v>-15.8</v>
      </c>
    </row>
    <row r="46" spans="1:4" x14ac:dyDescent="0.25">
      <c r="A46" s="29" t="s">
        <v>419</v>
      </c>
      <c r="B46" s="1">
        <v>2</v>
      </c>
      <c r="C46" s="1">
        <v>37</v>
      </c>
      <c r="D46" s="1">
        <v>-16.600000000000001</v>
      </c>
    </row>
    <row r="47" spans="1:4" x14ac:dyDescent="0.25">
      <c r="A47" s="29" t="s">
        <v>420</v>
      </c>
      <c r="B47" s="1">
        <v>2</v>
      </c>
      <c r="C47" s="1">
        <v>37.799999999999997</v>
      </c>
      <c r="D47" s="1">
        <v>-16</v>
      </c>
    </row>
    <row r="48" spans="1:4" x14ac:dyDescent="0.25">
      <c r="A48" s="29" t="s">
        <v>421</v>
      </c>
      <c r="B48" s="1">
        <v>2</v>
      </c>
      <c r="C48" s="1">
        <v>38.200000000000003</v>
      </c>
      <c r="D48" s="1">
        <v>-15.6</v>
      </c>
    </row>
    <row r="49" spans="1:4" x14ac:dyDescent="0.25">
      <c r="A49" s="29" t="s">
        <v>422</v>
      </c>
      <c r="B49" s="1">
        <v>2</v>
      </c>
      <c r="C49" s="1">
        <v>36.700000000000003</v>
      </c>
      <c r="D49" s="1">
        <v>-17.5</v>
      </c>
    </row>
    <row r="50" spans="1:4" x14ac:dyDescent="0.25">
      <c r="A50" s="29" t="s">
        <v>423</v>
      </c>
      <c r="B50" s="1">
        <v>2</v>
      </c>
      <c r="C50" s="1">
        <v>38.9</v>
      </c>
      <c r="D50" s="1">
        <v>-15.3</v>
      </c>
    </row>
    <row r="51" spans="1:4" x14ac:dyDescent="0.25">
      <c r="A51" s="29" t="s">
        <v>424</v>
      </c>
      <c r="B51" s="1">
        <v>2</v>
      </c>
      <c r="C51" s="1">
        <v>38.5</v>
      </c>
      <c r="D51" s="1">
        <v>-15.8</v>
      </c>
    </row>
    <row r="52" spans="1:4" x14ac:dyDescent="0.25">
      <c r="A52" s="29" t="s">
        <v>425</v>
      </c>
      <c r="B52" s="1">
        <v>2</v>
      </c>
      <c r="C52" s="1">
        <v>38.1</v>
      </c>
      <c r="D52" s="1">
        <v>-16.2</v>
      </c>
    </row>
    <row r="53" spans="1:4" x14ac:dyDescent="0.25">
      <c r="A53" s="29" t="s">
        <v>426</v>
      </c>
      <c r="B53" s="1">
        <v>2</v>
      </c>
      <c r="C53" s="1">
        <v>36.9</v>
      </c>
      <c r="D53" s="1">
        <v>-17.7</v>
      </c>
    </row>
    <row r="54" spans="1:4" x14ac:dyDescent="0.25">
      <c r="A54" s="29" t="s">
        <v>427</v>
      </c>
      <c r="B54" s="1">
        <v>2</v>
      </c>
      <c r="C54" s="1">
        <v>39</v>
      </c>
      <c r="D54" s="1">
        <v>-15.8</v>
      </c>
    </row>
    <row r="55" spans="1:4" x14ac:dyDescent="0.25">
      <c r="A55" s="29" t="s">
        <v>428</v>
      </c>
      <c r="B55" s="1">
        <v>2</v>
      </c>
      <c r="C55" s="1">
        <v>39.9</v>
      </c>
      <c r="D55" s="1">
        <v>-15.1</v>
      </c>
    </row>
    <row r="56" spans="1:4" x14ac:dyDescent="0.25">
      <c r="A56" s="29" t="s">
        <v>429</v>
      </c>
      <c r="B56" s="1">
        <v>2</v>
      </c>
      <c r="C56" s="1">
        <v>37.700000000000003</v>
      </c>
      <c r="D56" s="1">
        <v>-17.3</v>
      </c>
    </row>
    <row r="57" spans="1:4" x14ac:dyDescent="0.25">
      <c r="A57" s="29" t="s">
        <v>430</v>
      </c>
      <c r="B57" s="1">
        <v>2</v>
      </c>
      <c r="C57" s="1">
        <v>38.700000000000003</v>
      </c>
      <c r="D57" s="1">
        <v>-16.399999999999999</v>
      </c>
    </row>
    <row r="58" spans="1:4" x14ac:dyDescent="0.25">
      <c r="A58" s="29" t="s">
        <v>431</v>
      </c>
      <c r="B58" s="1">
        <v>2</v>
      </c>
      <c r="C58" s="1">
        <v>37</v>
      </c>
      <c r="D58" s="1">
        <v>-18.2</v>
      </c>
    </row>
    <row r="59" spans="1:4" x14ac:dyDescent="0.25">
      <c r="A59" s="29" t="s">
        <v>432</v>
      </c>
      <c r="B59" s="1">
        <v>2</v>
      </c>
      <c r="C59" s="1">
        <v>38</v>
      </c>
      <c r="D59" s="1">
        <v>-17.2</v>
      </c>
    </row>
    <row r="60" spans="1:4" x14ac:dyDescent="0.25">
      <c r="A60" s="29" t="s">
        <v>433</v>
      </c>
      <c r="B60" s="1">
        <v>2</v>
      </c>
      <c r="C60" s="1">
        <v>38.200000000000003</v>
      </c>
      <c r="D60" s="1">
        <v>-17</v>
      </c>
    </row>
    <row r="61" spans="1:4" x14ac:dyDescent="0.25">
      <c r="A61" s="29" t="s">
        <v>434</v>
      </c>
      <c r="B61" s="1">
        <v>2</v>
      </c>
      <c r="C61" s="1">
        <v>39.6</v>
      </c>
      <c r="D61" s="1">
        <v>-15.7</v>
      </c>
    </row>
    <row r="62" spans="1:4" x14ac:dyDescent="0.25">
      <c r="A62" s="29" t="s">
        <v>435</v>
      </c>
      <c r="B62" s="1">
        <v>2</v>
      </c>
      <c r="C62" s="1">
        <v>38.1</v>
      </c>
      <c r="D62" s="1">
        <v>-17.399999999999999</v>
      </c>
    </row>
    <row r="63" spans="1:4" x14ac:dyDescent="0.25">
      <c r="A63" s="29" t="s">
        <v>436</v>
      </c>
      <c r="B63" s="1">
        <v>2</v>
      </c>
      <c r="C63" s="1">
        <v>37.1</v>
      </c>
      <c r="D63" s="1">
        <v>-18.399999999999999</v>
      </c>
    </row>
    <row r="64" spans="1:4" x14ac:dyDescent="0.25">
      <c r="A64" s="29" t="s">
        <v>437</v>
      </c>
      <c r="B64" s="1">
        <v>2</v>
      </c>
      <c r="C64" s="1">
        <v>37.1</v>
      </c>
      <c r="D64" s="1">
        <v>-18.7</v>
      </c>
    </row>
    <row r="65" spans="1:4" x14ac:dyDescent="0.25">
      <c r="A65" s="29" t="s">
        <v>438</v>
      </c>
      <c r="B65" s="1">
        <v>2</v>
      </c>
      <c r="C65" s="1">
        <v>39.5</v>
      </c>
      <c r="D65" s="1">
        <v>-16.399999999999999</v>
      </c>
    </row>
    <row r="66" spans="1:4" x14ac:dyDescent="0.25">
      <c r="A66" s="29" t="s">
        <v>439</v>
      </c>
      <c r="B66" s="1">
        <v>2</v>
      </c>
      <c r="C66" s="1">
        <v>36.5</v>
      </c>
      <c r="D66" s="1">
        <v>-20</v>
      </c>
    </row>
    <row r="67" spans="1:4" x14ac:dyDescent="0.25">
      <c r="A67" s="29" t="s">
        <v>440</v>
      </c>
      <c r="B67" s="1">
        <v>2</v>
      </c>
      <c r="C67" s="1">
        <v>38</v>
      </c>
      <c r="D67" s="1">
        <v>-18.5</v>
      </c>
    </row>
    <row r="68" spans="1:4" x14ac:dyDescent="0.25">
      <c r="A68" s="29" t="s">
        <v>441</v>
      </c>
      <c r="B68" s="1">
        <v>2</v>
      </c>
      <c r="C68" s="1">
        <v>34.700000000000003</v>
      </c>
      <c r="D68" s="1">
        <v>-22</v>
      </c>
    </row>
    <row r="69" spans="1:4" x14ac:dyDescent="0.25">
      <c r="A69" s="29" t="s">
        <v>442</v>
      </c>
      <c r="B69" s="1">
        <v>2</v>
      </c>
      <c r="C69" s="1">
        <v>39.4</v>
      </c>
      <c r="D69" s="1">
        <v>-17.399999999999999</v>
      </c>
    </row>
    <row r="70" spans="1:4" x14ac:dyDescent="0.25">
      <c r="A70" s="29" t="s">
        <v>443</v>
      </c>
      <c r="B70" s="1">
        <v>2</v>
      </c>
      <c r="C70" s="1">
        <v>39.700000000000003</v>
      </c>
      <c r="D70" s="1">
        <v>-17.399999999999999</v>
      </c>
    </row>
    <row r="71" spans="1:4" x14ac:dyDescent="0.25">
      <c r="A71" s="29" t="s">
        <v>444</v>
      </c>
      <c r="B71" s="1">
        <v>2</v>
      </c>
      <c r="C71" s="1">
        <v>37.5</v>
      </c>
      <c r="D71" s="1">
        <v>-19.600000000000001</v>
      </c>
    </row>
    <row r="72" spans="1:4" x14ac:dyDescent="0.25">
      <c r="A72" s="29" t="s">
        <v>445</v>
      </c>
      <c r="B72" s="1">
        <v>2</v>
      </c>
      <c r="C72" s="1">
        <v>39.1</v>
      </c>
      <c r="D72" s="1">
        <v>-18.100000000000001</v>
      </c>
    </row>
    <row r="73" spans="1:4" x14ac:dyDescent="0.25">
      <c r="A73" s="29" t="s">
        <v>446</v>
      </c>
      <c r="B73" s="1">
        <v>2</v>
      </c>
      <c r="C73" s="1">
        <v>37.5</v>
      </c>
      <c r="D73" s="1">
        <v>-19.7</v>
      </c>
    </row>
    <row r="74" spans="1:4" x14ac:dyDescent="0.25">
      <c r="A74" s="29" t="s">
        <v>447</v>
      </c>
      <c r="B74" s="1">
        <v>2</v>
      </c>
      <c r="C74" s="1">
        <v>37.9</v>
      </c>
      <c r="D74" s="1">
        <v>-19.5</v>
      </c>
    </row>
    <row r="75" spans="1:4" x14ac:dyDescent="0.25">
      <c r="A75" s="29" t="s">
        <v>448</v>
      </c>
      <c r="B75" s="1">
        <v>2</v>
      </c>
      <c r="C75" s="1">
        <v>35.700000000000003</v>
      </c>
      <c r="D75" s="1">
        <v>-21.7</v>
      </c>
    </row>
    <row r="76" spans="1:4" x14ac:dyDescent="0.25">
      <c r="A76" s="29" t="s">
        <v>449</v>
      </c>
      <c r="B76" s="1">
        <v>2</v>
      </c>
      <c r="C76" s="1">
        <v>37.9</v>
      </c>
      <c r="D76" s="1">
        <v>-19.600000000000001</v>
      </c>
    </row>
    <row r="77" spans="1:4" x14ac:dyDescent="0.25">
      <c r="A77" s="29" t="s">
        <v>450</v>
      </c>
      <c r="B77" s="1">
        <v>2</v>
      </c>
      <c r="C77" s="1">
        <v>39.299999999999997</v>
      </c>
      <c r="D77" s="1">
        <v>-18.600000000000001</v>
      </c>
    </row>
    <row r="78" spans="1:4" x14ac:dyDescent="0.25">
      <c r="A78" s="29" t="s">
        <v>451</v>
      </c>
      <c r="B78" s="1">
        <v>2</v>
      </c>
      <c r="C78" s="1">
        <v>35.799999999999997</v>
      </c>
      <c r="D78" s="1">
        <v>-22.1</v>
      </c>
    </row>
    <row r="79" spans="1:4" x14ac:dyDescent="0.25">
      <c r="A79" s="29" t="s">
        <v>452</v>
      </c>
      <c r="B79" s="1">
        <v>2</v>
      </c>
      <c r="C79" s="1">
        <v>36.4</v>
      </c>
      <c r="D79" s="1">
        <v>-21.5</v>
      </c>
    </row>
    <row r="80" spans="1:4" x14ac:dyDescent="0.25">
      <c r="A80" s="29" t="s">
        <v>453</v>
      </c>
      <c r="B80" s="1">
        <v>2</v>
      </c>
      <c r="C80" s="1">
        <v>38.1</v>
      </c>
      <c r="D80" s="1">
        <v>-19.8</v>
      </c>
    </row>
    <row r="81" spans="1:4" x14ac:dyDescent="0.25">
      <c r="A81" s="29" t="s">
        <v>454</v>
      </c>
      <c r="B81" s="1">
        <v>2</v>
      </c>
      <c r="C81" s="1">
        <v>39.6</v>
      </c>
      <c r="D81" s="1">
        <v>-18.600000000000001</v>
      </c>
    </row>
    <row r="82" spans="1:4" x14ac:dyDescent="0.25">
      <c r="A82" s="29" t="s">
        <v>455</v>
      </c>
      <c r="B82" s="1">
        <v>2</v>
      </c>
      <c r="C82" s="1">
        <v>37</v>
      </c>
      <c r="D82" s="1">
        <v>-21.4</v>
      </c>
    </row>
    <row r="83" spans="1:4" x14ac:dyDescent="0.25">
      <c r="A83" s="29" t="s">
        <v>456</v>
      </c>
      <c r="B83" s="1">
        <v>2</v>
      </c>
      <c r="C83" s="1">
        <v>38.5</v>
      </c>
      <c r="D83" s="1">
        <v>-20</v>
      </c>
    </row>
    <row r="84" spans="1:4" x14ac:dyDescent="0.25">
      <c r="A84" s="29" t="s">
        <v>457</v>
      </c>
      <c r="B84" s="1">
        <v>2</v>
      </c>
      <c r="C84" s="1">
        <v>39.299999999999997</v>
      </c>
      <c r="D84" s="1">
        <v>-19.399999999999999</v>
      </c>
    </row>
    <row r="85" spans="1:4" x14ac:dyDescent="0.25">
      <c r="A85" s="29" t="s">
        <v>458</v>
      </c>
      <c r="B85" s="1">
        <v>2</v>
      </c>
      <c r="C85" s="1">
        <v>38</v>
      </c>
      <c r="D85" s="1">
        <v>-20.9</v>
      </c>
    </row>
    <row r="86" spans="1:4" x14ac:dyDescent="0.25">
      <c r="A86" s="29" t="s">
        <v>459</v>
      </c>
      <c r="B86" s="1">
        <v>2</v>
      </c>
      <c r="C86" s="1">
        <v>38.700000000000003</v>
      </c>
      <c r="D86" s="1">
        <v>-20.399999999999999</v>
      </c>
    </row>
    <row r="87" spans="1:4" x14ac:dyDescent="0.25">
      <c r="A87" s="29" t="s">
        <v>460</v>
      </c>
      <c r="B87" s="1">
        <v>2</v>
      </c>
      <c r="C87" s="1">
        <v>37.6</v>
      </c>
      <c r="D87" s="1">
        <v>-21.6</v>
      </c>
    </row>
    <row r="88" spans="1:4" x14ac:dyDescent="0.25">
      <c r="A88" s="29" t="s">
        <v>461</v>
      </c>
      <c r="B88" s="1">
        <v>2</v>
      </c>
      <c r="C88" s="1">
        <v>38.9</v>
      </c>
      <c r="D88" s="1">
        <v>-20.399999999999999</v>
      </c>
    </row>
    <row r="89" spans="1:4" x14ac:dyDescent="0.25">
      <c r="A89" s="29" t="s">
        <v>462</v>
      </c>
      <c r="B89" s="1">
        <v>2</v>
      </c>
      <c r="C89" s="1">
        <v>37.5</v>
      </c>
      <c r="D89" s="1">
        <v>-21.8</v>
      </c>
    </row>
    <row r="90" spans="1:4" x14ac:dyDescent="0.25">
      <c r="A90" s="29" t="s">
        <v>463</v>
      </c>
      <c r="B90" s="1">
        <v>2</v>
      </c>
      <c r="C90" s="1">
        <v>39.6</v>
      </c>
      <c r="D90" s="1">
        <v>-20.100000000000001</v>
      </c>
    </row>
    <row r="91" spans="1:4" x14ac:dyDescent="0.25">
      <c r="A91" s="29" t="s">
        <v>464</v>
      </c>
      <c r="B91" s="1">
        <v>2</v>
      </c>
      <c r="C91" s="1">
        <v>36.5</v>
      </c>
      <c r="D91" s="1">
        <v>-23.3</v>
      </c>
    </row>
    <row r="92" spans="1:4" x14ac:dyDescent="0.25">
      <c r="A92" s="29" t="s">
        <v>465</v>
      </c>
      <c r="B92" s="1">
        <v>2</v>
      </c>
      <c r="C92" s="1">
        <v>38.799999999999997</v>
      </c>
      <c r="D92" s="1">
        <v>-21.2</v>
      </c>
    </row>
    <row r="93" spans="1:4" x14ac:dyDescent="0.25">
      <c r="A93" s="29" t="s">
        <v>466</v>
      </c>
      <c r="B93" s="1">
        <v>2</v>
      </c>
      <c r="C93" s="1">
        <v>38</v>
      </c>
      <c r="D93" s="1">
        <v>-22</v>
      </c>
    </row>
    <row r="94" spans="1:4" x14ac:dyDescent="0.25">
      <c r="A94" s="36" t="s">
        <v>467</v>
      </c>
      <c r="B94" s="35">
        <v>3</v>
      </c>
      <c r="C94" s="35">
        <v>38.200000000000003</v>
      </c>
      <c r="D94" s="35">
        <v>-22</v>
      </c>
    </row>
    <row r="95" spans="1:4" x14ac:dyDescent="0.25">
      <c r="A95" s="36" t="s">
        <v>468</v>
      </c>
      <c r="B95" s="35">
        <v>3</v>
      </c>
      <c r="C95" s="35">
        <v>38.799999999999997</v>
      </c>
      <c r="D95" s="35">
        <v>-22</v>
      </c>
    </row>
    <row r="96" spans="1:4" x14ac:dyDescent="0.25">
      <c r="A96" s="36" t="s">
        <v>469</v>
      </c>
      <c r="B96" s="35">
        <v>3</v>
      </c>
      <c r="C96" s="35">
        <v>37.799999999999997</v>
      </c>
      <c r="D96" s="35">
        <v>-23.9</v>
      </c>
    </row>
    <row r="97" spans="1:4" x14ac:dyDescent="0.25">
      <c r="A97" s="36" t="s">
        <v>470</v>
      </c>
      <c r="B97" s="35">
        <v>3</v>
      </c>
      <c r="C97" s="35">
        <v>40</v>
      </c>
      <c r="D97" s="35">
        <v>-21.7</v>
      </c>
    </row>
    <row r="98" spans="1:4" x14ac:dyDescent="0.25">
      <c r="A98" s="36" t="s">
        <v>471</v>
      </c>
      <c r="B98" s="35">
        <v>3</v>
      </c>
      <c r="C98" s="35">
        <v>35</v>
      </c>
      <c r="D98" s="35">
        <v>-26.8</v>
      </c>
    </row>
    <row r="99" spans="1:4" x14ac:dyDescent="0.25">
      <c r="A99" s="36" t="s">
        <v>472</v>
      </c>
      <c r="B99" s="35">
        <v>3</v>
      </c>
      <c r="C99" s="35">
        <v>40.1</v>
      </c>
      <c r="D99" s="35">
        <v>-21.8</v>
      </c>
    </row>
    <row r="100" spans="1:4" x14ac:dyDescent="0.25">
      <c r="A100" s="36" t="s">
        <v>473</v>
      </c>
      <c r="B100" s="35">
        <v>3</v>
      </c>
      <c r="C100" s="35">
        <v>37.6</v>
      </c>
      <c r="D100" s="35">
        <v>-24.5</v>
      </c>
    </row>
    <row r="101" spans="1:4" x14ac:dyDescent="0.25">
      <c r="A101" s="36" t="s">
        <v>474</v>
      </c>
      <c r="B101" s="35">
        <v>3</v>
      </c>
      <c r="C101" s="35">
        <v>40.6</v>
      </c>
      <c r="D101" s="35">
        <v>-21.7</v>
      </c>
    </row>
    <row r="102" spans="1:4" x14ac:dyDescent="0.25">
      <c r="A102" s="36" t="s">
        <v>475</v>
      </c>
      <c r="B102" s="35">
        <v>3</v>
      </c>
      <c r="C102" s="35">
        <v>37.700000000000003</v>
      </c>
      <c r="D102" s="35">
        <v>-24.6</v>
      </c>
    </row>
    <row r="103" spans="1:4" x14ac:dyDescent="0.25">
      <c r="A103" s="36" t="s">
        <v>476</v>
      </c>
      <c r="B103" s="35">
        <v>3</v>
      </c>
      <c r="C103" s="35">
        <v>38.5</v>
      </c>
      <c r="D103" s="35">
        <v>-24</v>
      </c>
    </row>
    <row r="104" spans="1:4" x14ac:dyDescent="0.25">
      <c r="A104" s="36" t="s">
        <v>477</v>
      </c>
      <c r="B104" s="35">
        <v>3</v>
      </c>
      <c r="C104" s="35">
        <v>39.4</v>
      </c>
      <c r="D104" s="35">
        <v>-23.2</v>
      </c>
    </row>
    <row r="105" spans="1:4" x14ac:dyDescent="0.25">
      <c r="A105" s="36" t="s">
        <v>478</v>
      </c>
      <c r="B105" s="35">
        <v>3</v>
      </c>
      <c r="C105" s="35">
        <v>39.9</v>
      </c>
      <c r="D105" s="35">
        <v>-23.5</v>
      </c>
    </row>
    <row r="106" spans="1:4" x14ac:dyDescent="0.25">
      <c r="A106" s="36" t="s">
        <v>479</v>
      </c>
      <c r="B106" s="35">
        <v>3</v>
      </c>
      <c r="C106" s="35">
        <v>37.799999999999997</v>
      </c>
      <c r="D106" s="35">
        <v>-25.6</v>
      </c>
    </row>
    <row r="107" spans="1:4" x14ac:dyDescent="0.25">
      <c r="A107" s="36" t="s">
        <v>480</v>
      </c>
      <c r="B107" s="35">
        <v>3</v>
      </c>
      <c r="C107" s="35">
        <v>40.4</v>
      </c>
      <c r="D107" s="35">
        <v>-23.2</v>
      </c>
    </row>
    <row r="108" spans="1:4" x14ac:dyDescent="0.25">
      <c r="A108" s="36" t="s">
        <v>481</v>
      </c>
      <c r="B108" s="35">
        <v>3</v>
      </c>
      <c r="C108" s="35">
        <v>37.200000000000003</v>
      </c>
      <c r="D108" s="35">
        <v>-26.7</v>
      </c>
    </row>
    <row r="109" spans="1:4" x14ac:dyDescent="0.25">
      <c r="A109" s="36" t="s">
        <v>482</v>
      </c>
      <c r="B109" s="35">
        <v>3</v>
      </c>
      <c r="C109" s="35">
        <v>39.5</v>
      </c>
      <c r="D109" s="35">
        <v>-24.5</v>
      </c>
    </row>
    <row r="110" spans="1:4" x14ac:dyDescent="0.25">
      <c r="A110" s="36" t="s">
        <v>483</v>
      </c>
      <c r="B110" s="35">
        <v>3</v>
      </c>
      <c r="C110" s="35">
        <v>38.6</v>
      </c>
      <c r="D110" s="35">
        <v>-25.5</v>
      </c>
    </row>
    <row r="111" spans="1:4" x14ac:dyDescent="0.25">
      <c r="A111" s="36" t="s">
        <v>484</v>
      </c>
      <c r="B111" s="35">
        <v>3</v>
      </c>
      <c r="C111" s="35">
        <v>38.700000000000003</v>
      </c>
      <c r="D111" s="35">
        <v>-26.2</v>
      </c>
    </row>
    <row r="112" spans="1:4" x14ac:dyDescent="0.25">
      <c r="A112" s="36" t="s">
        <v>485</v>
      </c>
      <c r="B112" s="35">
        <v>3</v>
      </c>
      <c r="C112" s="35">
        <v>39.4</v>
      </c>
      <c r="D112" s="35">
        <v>-26</v>
      </c>
    </row>
    <row r="113" spans="1:4" x14ac:dyDescent="0.25">
      <c r="A113" s="36" t="s">
        <v>486</v>
      </c>
      <c r="B113" s="35">
        <v>3</v>
      </c>
      <c r="C113" s="35">
        <v>37.799999999999997</v>
      </c>
      <c r="D113" s="35">
        <v>-27.7</v>
      </c>
    </row>
    <row r="114" spans="1:4" x14ac:dyDescent="0.25">
      <c r="A114" s="36" t="s">
        <v>487</v>
      </c>
      <c r="B114" s="35">
        <v>3</v>
      </c>
      <c r="C114" s="35">
        <v>33.700000000000003</v>
      </c>
      <c r="D114" s="35">
        <v>-32.299999999999997</v>
      </c>
    </row>
    <row r="115" spans="1:4" x14ac:dyDescent="0.25">
      <c r="A115" s="36" t="s">
        <v>488</v>
      </c>
      <c r="B115" s="35">
        <v>3</v>
      </c>
      <c r="C115" s="35">
        <v>38.700000000000003</v>
      </c>
      <c r="D115" s="35">
        <v>-27.8</v>
      </c>
    </row>
    <row r="116" spans="1:4" x14ac:dyDescent="0.25">
      <c r="A116" s="36" t="s">
        <v>489</v>
      </c>
      <c r="B116" s="35">
        <v>3</v>
      </c>
      <c r="C116" s="35">
        <v>38.4</v>
      </c>
      <c r="D116" s="35">
        <v>-29.2</v>
      </c>
    </row>
    <row r="117" spans="1:4" x14ac:dyDescent="0.25">
      <c r="A117" s="36" t="s">
        <v>490</v>
      </c>
      <c r="B117" s="35">
        <v>3</v>
      </c>
      <c r="C117" s="35">
        <v>41</v>
      </c>
      <c r="D117" s="35">
        <v>-26.7</v>
      </c>
    </row>
    <row r="118" spans="1:4" x14ac:dyDescent="0.25">
      <c r="A118" s="36" t="s">
        <v>491</v>
      </c>
      <c r="B118" s="35">
        <v>3</v>
      </c>
      <c r="C118" s="35">
        <v>38.9</v>
      </c>
      <c r="D118" s="35">
        <v>-29.5</v>
      </c>
    </row>
    <row r="119" spans="1:4" x14ac:dyDescent="0.25">
      <c r="A119" s="36" t="s">
        <v>492</v>
      </c>
      <c r="B119" s="35">
        <v>3</v>
      </c>
      <c r="C119" s="35">
        <v>33.200000000000003</v>
      </c>
      <c r="D119" s="35">
        <v>-36.6</v>
      </c>
    </row>
    <row r="120" spans="1:4" x14ac:dyDescent="0.25">
      <c r="A120" s="36" t="s">
        <v>493</v>
      </c>
      <c r="B120" s="35">
        <v>3</v>
      </c>
      <c r="C120" s="35">
        <v>33.5</v>
      </c>
      <c r="D120" s="35">
        <v>-40.1</v>
      </c>
    </row>
    <row r="121" spans="1:4" x14ac:dyDescent="0.25">
      <c r="A121" s="36" t="s">
        <v>494</v>
      </c>
      <c r="B121" s="35">
        <v>3</v>
      </c>
      <c r="C121" s="35">
        <v>40.200000000000003</v>
      </c>
      <c r="D121" s="35">
        <v>-35.5</v>
      </c>
    </row>
    <row r="122" spans="1:4" x14ac:dyDescent="0.25">
      <c r="A122" s="36" t="s">
        <v>495</v>
      </c>
      <c r="B122" s="35">
        <v>3</v>
      </c>
      <c r="C122" s="35">
        <v>46</v>
      </c>
      <c r="D122" s="35">
        <v>-33.9</v>
      </c>
    </row>
    <row r="123" spans="1:4" x14ac:dyDescent="0.25">
      <c r="A123" s="29"/>
      <c r="B123" s="1"/>
      <c r="C123" s="1"/>
      <c r="D123" s="1"/>
    </row>
    <row r="124" spans="1:4" x14ac:dyDescent="0.25">
      <c r="A124" s="29"/>
      <c r="B124" s="1"/>
      <c r="C124" s="1"/>
      <c r="D124" s="1"/>
    </row>
    <row r="125" spans="1:4" x14ac:dyDescent="0.25">
      <c r="A125" s="29"/>
      <c r="B125" s="1"/>
      <c r="C125" s="1"/>
      <c r="D125" s="1"/>
    </row>
    <row r="126" spans="1:4" x14ac:dyDescent="0.25">
      <c r="A126" s="29"/>
      <c r="B126" s="1"/>
      <c r="C126" s="1"/>
      <c r="D126" s="1"/>
    </row>
    <row r="127" spans="1:4" x14ac:dyDescent="0.25">
      <c r="A127" s="29"/>
      <c r="B127" s="1"/>
      <c r="C127" s="1"/>
      <c r="D127" s="1"/>
    </row>
    <row r="128" spans="1:4" x14ac:dyDescent="0.25">
      <c r="A128" s="29"/>
      <c r="B128" s="1"/>
      <c r="C128" s="1"/>
      <c r="D128" s="1"/>
    </row>
    <row r="129" spans="1:4" x14ac:dyDescent="0.25">
      <c r="A129" s="29"/>
      <c r="B129" s="1"/>
      <c r="C129" s="1"/>
      <c r="D129" s="1"/>
    </row>
    <row r="130" spans="1:4" x14ac:dyDescent="0.25">
      <c r="A130" s="29"/>
      <c r="B130" s="1"/>
      <c r="C130" s="1"/>
      <c r="D130" s="1"/>
    </row>
    <row r="131" spans="1:4" x14ac:dyDescent="0.25">
      <c r="A131" s="29"/>
      <c r="B131" s="1"/>
      <c r="C131" s="1"/>
      <c r="D131" s="1"/>
    </row>
    <row r="132" spans="1:4" x14ac:dyDescent="0.25">
      <c r="A132" s="29"/>
      <c r="B132" s="1"/>
      <c r="C132" s="1"/>
      <c r="D132" s="1"/>
    </row>
    <row r="133" spans="1:4" x14ac:dyDescent="0.25">
      <c r="A133" s="29"/>
      <c r="B133" s="1"/>
      <c r="C133" s="1"/>
      <c r="D133" s="1"/>
    </row>
    <row r="134" spans="1:4" x14ac:dyDescent="0.25">
      <c r="A134" s="29"/>
      <c r="B134" s="1"/>
      <c r="C134" s="1"/>
      <c r="D134" s="1"/>
    </row>
    <row r="135" spans="1:4" x14ac:dyDescent="0.25">
      <c r="A135" s="29"/>
      <c r="B135" s="1"/>
      <c r="C135" s="1"/>
      <c r="D135" s="1"/>
    </row>
    <row r="136" spans="1:4" x14ac:dyDescent="0.25">
      <c r="A136" s="29"/>
      <c r="B136" s="1"/>
      <c r="C136" s="1"/>
      <c r="D136" s="1"/>
    </row>
    <row r="137" spans="1:4" x14ac:dyDescent="0.25">
      <c r="A137" s="29"/>
      <c r="B137" s="1"/>
      <c r="C137" s="1"/>
      <c r="D137" s="1"/>
    </row>
    <row r="138" spans="1:4" x14ac:dyDescent="0.25">
      <c r="A138" s="29"/>
      <c r="B138" s="1"/>
      <c r="C138" s="1"/>
      <c r="D138" s="1"/>
    </row>
    <row r="139" spans="1:4" x14ac:dyDescent="0.25">
      <c r="A139" s="29"/>
      <c r="B139" s="1"/>
      <c r="C139" s="1"/>
      <c r="D139" s="1"/>
    </row>
    <row r="140" spans="1:4" x14ac:dyDescent="0.25">
      <c r="A140" s="29"/>
      <c r="B140" s="1"/>
      <c r="C140" s="1"/>
      <c r="D140" s="1"/>
    </row>
    <row r="141" spans="1:4" x14ac:dyDescent="0.25">
      <c r="A141" s="29"/>
      <c r="B141" s="1"/>
      <c r="C141" s="1"/>
      <c r="D141" s="1"/>
    </row>
    <row r="142" spans="1:4" x14ac:dyDescent="0.25">
      <c r="A142" s="29"/>
      <c r="B142" s="1"/>
      <c r="C142" s="1"/>
      <c r="D142" s="1"/>
    </row>
    <row r="143" spans="1:4" x14ac:dyDescent="0.25">
      <c r="A143" s="29"/>
      <c r="B143" s="1"/>
      <c r="C143" s="1"/>
      <c r="D143" s="1"/>
    </row>
    <row r="144" spans="1:4" x14ac:dyDescent="0.25">
      <c r="A144" s="29"/>
      <c r="B144" s="1"/>
      <c r="C144" s="1"/>
      <c r="D144" s="1"/>
    </row>
    <row r="145" spans="1:4" x14ac:dyDescent="0.25">
      <c r="A145" s="29"/>
      <c r="B145" s="1"/>
      <c r="C145" s="1"/>
      <c r="D145" s="1"/>
    </row>
    <row r="146" spans="1:4" x14ac:dyDescent="0.25">
      <c r="A146" s="29"/>
      <c r="B146" s="1"/>
      <c r="C146" s="1"/>
      <c r="D146" s="1"/>
    </row>
    <row r="147" spans="1:4" x14ac:dyDescent="0.25">
      <c r="A147" s="29"/>
      <c r="B147" s="1"/>
      <c r="C147" s="1"/>
      <c r="D147" s="1"/>
    </row>
    <row r="148" spans="1:4" x14ac:dyDescent="0.25">
      <c r="A148" s="29"/>
      <c r="B148" s="1"/>
      <c r="C148" s="1"/>
      <c r="D148" s="1"/>
    </row>
    <row r="149" spans="1:4" x14ac:dyDescent="0.25">
      <c r="A149" s="29"/>
      <c r="B149" s="1"/>
      <c r="C149" s="1"/>
      <c r="D149" s="1"/>
    </row>
    <row r="150" spans="1:4" x14ac:dyDescent="0.25">
      <c r="A150" s="29"/>
      <c r="B150" s="1"/>
      <c r="C150" s="1"/>
      <c r="D150" s="1"/>
    </row>
    <row r="151" spans="1:4" x14ac:dyDescent="0.25">
      <c r="A151" s="29"/>
      <c r="B151" s="1"/>
      <c r="C151" s="1"/>
      <c r="D151" s="1"/>
    </row>
    <row r="152" spans="1:4" x14ac:dyDescent="0.25">
      <c r="A152" s="29"/>
      <c r="B152" s="1"/>
      <c r="C152" s="1"/>
      <c r="D152" s="1"/>
    </row>
    <row r="153" spans="1:4" x14ac:dyDescent="0.25">
      <c r="A153" s="29"/>
      <c r="B153" s="1"/>
      <c r="C153" s="1"/>
      <c r="D153" s="1"/>
    </row>
    <row r="154" spans="1:4" x14ac:dyDescent="0.25">
      <c r="A154" s="29"/>
      <c r="B154" s="1"/>
      <c r="C154" s="1"/>
      <c r="D154" s="1"/>
    </row>
    <row r="155" spans="1:4" x14ac:dyDescent="0.25">
      <c r="A155" s="29"/>
      <c r="B155" s="1"/>
      <c r="C155" s="1"/>
      <c r="D155" s="1"/>
    </row>
    <row r="156" spans="1:4" x14ac:dyDescent="0.25">
      <c r="A156" s="29"/>
      <c r="B156" s="1"/>
      <c r="C156" s="1"/>
      <c r="D156" s="1"/>
    </row>
    <row r="157" spans="1:4" x14ac:dyDescent="0.25">
      <c r="A157" s="29"/>
      <c r="B157" s="1"/>
      <c r="C157" s="1"/>
      <c r="D157" s="1"/>
    </row>
    <row r="158" spans="1:4" x14ac:dyDescent="0.25">
      <c r="A158" s="29"/>
      <c r="B158" s="1"/>
      <c r="C158" s="1"/>
      <c r="D158" s="1"/>
    </row>
    <row r="159" spans="1:4" x14ac:dyDescent="0.25">
      <c r="A159" s="29"/>
      <c r="B159" s="1"/>
      <c r="C159" s="1"/>
      <c r="D159" s="1"/>
    </row>
    <row r="160" spans="1:4" x14ac:dyDescent="0.25">
      <c r="A160" s="29"/>
      <c r="B160" s="1"/>
      <c r="C160" s="1"/>
      <c r="D160" s="1"/>
    </row>
    <row r="161" spans="1:4" x14ac:dyDescent="0.25">
      <c r="A161" s="29"/>
      <c r="B161" s="1"/>
      <c r="C161" s="1"/>
      <c r="D161" s="1"/>
    </row>
    <row r="162" spans="1:4" x14ac:dyDescent="0.25">
      <c r="A162" s="29"/>
      <c r="B162" s="1"/>
      <c r="C162" s="1"/>
      <c r="D162" s="1"/>
    </row>
    <row r="163" spans="1:4" x14ac:dyDescent="0.25">
      <c r="A163" s="29"/>
      <c r="B163" s="1"/>
      <c r="C163" s="1"/>
      <c r="D163" s="1"/>
    </row>
    <row r="164" spans="1:4" x14ac:dyDescent="0.25">
      <c r="A164" s="29"/>
      <c r="B164" s="1"/>
      <c r="C164" s="1"/>
      <c r="D164" s="1"/>
    </row>
    <row r="165" spans="1:4" x14ac:dyDescent="0.25">
      <c r="A165" s="29"/>
      <c r="B165" s="1"/>
      <c r="C165" s="1"/>
      <c r="D165" s="1"/>
    </row>
    <row r="166" spans="1:4" x14ac:dyDescent="0.25">
      <c r="A166" s="29"/>
      <c r="B166" s="1"/>
      <c r="C166" s="1"/>
      <c r="D166" s="1"/>
    </row>
    <row r="167" spans="1:4" x14ac:dyDescent="0.25">
      <c r="A167" s="29"/>
      <c r="B167" s="1"/>
      <c r="C167" s="1"/>
      <c r="D167" s="1"/>
    </row>
    <row r="168" spans="1:4" x14ac:dyDescent="0.25">
      <c r="A168" s="29"/>
      <c r="B168" s="1"/>
      <c r="C168" s="1"/>
      <c r="D168" s="1"/>
    </row>
    <row r="169" spans="1:4" x14ac:dyDescent="0.25">
      <c r="A169" s="29"/>
      <c r="B169" s="1"/>
      <c r="C169" s="1"/>
      <c r="D169" s="1"/>
    </row>
    <row r="170" spans="1:4" x14ac:dyDescent="0.25">
      <c r="A170" s="29"/>
      <c r="B170" s="1"/>
      <c r="C170" s="1"/>
      <c r="D170" s="1"/>
    </row>
    <row r="171" spans="1:4" x14ac:dyDescent="0.25">
      <c r="A171" s="29"/>
      <c r="B171" s="1"/>
      <c r="C171" s="1"/>
      <c r="D171" s="1"/>
    </row>
    <row r="172" spans="1:4" x14ac:dyDescent="0.25">
      <c r="A172" s="29"/>
      <c r="B172" s="1"/>
      <c r="C172" s="1"/>
      <c r="D172" s="1"/>
    </row>
    <row r="173" spans="1:4" x14ac:dyDescent="0.25">
      <c r="A173" s="29"/>
      <c r="B173" s="1"/>
      <c r="C173" s="1"/>
      <c r="D173" s="1"/>
    </row>
    <row r="174" spans="1:4" x14ac:dyDescent="0.25">
      <c r="A174" s="29"/>
      <c r="B174" s="1"/>
      <c r="C174" s="1"/>
      <c r="D174" s="1"/>
    </row>
    <row r="175" spans="1:4" x14ac:dyDescent="0.25">
      <c r="A175" s="29"/>
      <c r="B175" s="1"/>
      <c r="C175" s="1"/>
      <c r="D175" s="1"/>
    </row>
    <row r="176" spans="1:4" x14ac:dyDescent="0.25">
      <c r="A176" s="29"/>
      <c r="B176" s="1"/>
      <c r="C176" s="1"/>
      <c r="D176" s="1"/>
    </row>
    <row r="177" spans="1:4" x14ac:dyDescent="0.25">
      <c r="A177" s="29"/>
      <c r="B177" s="1"/>
      <c r="C177" s="1"/>
      <c r="D177" s="1"/>
    </row>
    <row r="178" spans="1:4" x14ac:dyDescent="0.25">
      <c r="A178" s="29"/>
      <c r="B178" s="1"/>
      <c r="C178" s="1"/>
      <c r="D178" s="1"/>
    </row>
    <row r="179" spans="1:4" x14ac:dyDescent="0.25">
      <c r="A179" s="29"/>
      <c r="B179" s="1"/>
      <c r="C179" s="1"/>
      <c r="D179" s="1"/>
    </row>
    <row r="180" spans="1:4" x14ac:dyDescent="0.25">
      <c r="A180" s="29"/>
      <c r="B180" s="1"/>
      <c r="C180" s="1"/>
      <c r="D180" s="1"/>
    </row>
    <row r="181" spans="1:4" x14ac:dyDescent="0.25">
      <c r="A181" s="29"/>
      <c r="B181" s="1"/>
      <c r="C181" s="1"/>
      <c r="D181" s="1"/>
    </row>
    <row r="182" spans="1:4" x14ac:dyDescent="0.25">
      <c r="A182" s="29"/>
      <c r="B182" s="1"/>
      <c r="C182" s="1"/>
      <c r="D182" s="1"/>
    </row>
    <row r="183" spans="1:4" x14ac:dyDescent="0.25">
      <c r="A183" s="29"/>
      <c r="B183" s="1"/>
      <c r="C183" s="1"/>
      <c r="D183" s="1"/>
    </row>
    <row r="184" spans="1:4" x14ac:dyDescent="0.25">
      <c r="A184" s="29"/>
      <c r="B184" s="1"/>
      <c r="C184" s="1"/>
      <c r="D184" s="1"/>
    </row>
    <row r="185" spans="1:4" x14ac:dyDescent="0.25">
      <c r="A185" s="29"/>
      <c r="B185" s="1"/>
      <c r="C185" s="1"/>
      <c r="D185" s="1"/>
    </row>
    <row r="186" spans="1:4" x14ac:dyDescent="0.25">
      <c r="A186" s="29"/>
      <c r="B186" s="1"/>
      <c r="C186" s="1"/>
      <c r="D186" s="1"/>
    </row>
    <row r="187" spans="1:4" x14ac:dyDescent="0.25">
      <c r="A187" s="29"/>
      <c r="B187" s="1"/>
      <c r="C187" s="1"/>
      <c r="D187" s="1"/>
    </row>
    <row r="188" spans="1:4" x14ac:dyDescent="0.25">
      <c r="A188" s="29"/>
      <c r="B188" s="1"/>
      <c r="C188" s="1"/>
      <c r="D188" s="1"/>
    </row>
    <row r="189" spans="1:4" x14ac:dyDescent="0.25">
      <c r="A189" s="29"/>
      <c r="B189" s="1"/>
      <c r="C189" s="1"/>
      <c r="D189" s="1"/>
    </row>
    <row r="190" spans="1:4" x14ac:dyDescent="0.25">
      <c r="A190" s="29"/>
      <c r="B190" s="1"/>
      <c r="C190" s="1"/>
      <c r="D190" s="1"/>
    </row>
    <row r="191" spans="1:4" x14ac:dyDescent="0.25">
      <c r="A191" s="29"/>
      <c r="B191" s="1"/>
      <c r="C191" s="1"/>
      <c r="D191" s="1"/>
    </row>
    <row r="192" spans="1:4" x14ac:dyDescent="0.25">
      <c r="A192" s="29"/>
      <c r="B192" s="1"/>
      <c r="C192" s="1"/>
      <c r="D192" s="1"/>
    </row>
    <row r="193" spans="1:4" x14ac:dyDescent="0.25">
      <c r="A193" s="29"/>
      <c r="B193" s="1"/>
      <c r="C193" s="1"/>
      <c r="D193" s="1"/>
    </row>
    <row r="194" spans="1:4" x14ac:dyDescent="0.25">
      <c r="A194" s="29"/>
      <c r="B194" s="1"/>
      <c r="C194" s="1"/>
      <c r="D194" s="1"/>
    </row>
    <row r="195" spans="1:4" x14ac:dyDescent="0.25">
      <c r="A195" s="29"/>
      <c r="B195" s="1"/>
      <c r="C195" s="1"/>
      <c r="D195" s="1"/>
    </row>
    <row r="196" spans="1:4" x14ac:dyDescent="0.25">
      <c r="A196" s="29"/>
      <c r="B196" s="1"/>
      <c r="C196" s="1"/>
      <c r="D196" s="1"/>
    </row>
    <row r="197" spans="1:4" x14ac:dyDescent="0.25">
      <c r="A197" s="29"/>
      <c r="B197" s="1"/>
      <c r="C197" s="1"/>
      <c r="D197" s="1"/>
    </row>
    <row r="198" spans="1:4" x14ac:dyDescent="0.25">
      <c r="A198" s="29"/>
      <c r="B198" s="1"/>
      <c r="C198" s="1"/>
      <c r="D198" s="1"/>
    </row>
    <row r="199" spans="1:4" x14ac:dyDescent="0.25">
      <c r="A199" s="29"/>
      <c r="B199" s="1"/>
      <c r="C199" s="1"/>
      <c r="D199" s="1"/>
    </row>
    <row r="200" spans="1:4" x14ac:dyDescent="0.25">
      <c r="A200" s="29"/>
      <c r="B200" s="1"/>
      <c r="C200" s="1"/>
      <c r="D200" s="1"/>
    </row>
    <row r="201" spans="1:4" x14ac:dyDescent="0.25">
      <c r="A201" s="29"/>
      <c r="B201" s="1"/>
      <c r="C201" s="1"/>
      <c r="D201" s="1"/>
    </row>
    <row r="202" spans="1:4" x14ac:dyDescent="0.25">
      <c r="A202" s="29"/>
      <c r="B202" s="1"/>
      <c r="C202" s="1"/>
      <c r="D202" s="1"/>
    </row>
    <row r="203" spans="1:4" x14ac:dyDescent="0.25">
      <c r="A203" s="29"/>
      <c r="B203" s="1"/>
      <c r="C203" s="1"/>
      <c r="D203" s="1"/>
    </row>
    <row r="204" spans="1:4" x14ac:dyDescent="0.25">
      <c r="A204" s="29"/>
      <c r="B204" s="1"/>
      <c r="C204" s="1"/>
      <c r="D204" s="1"/>
    </row>
    <row r="205" spans="1:4" x14ac:dyDescent="0.25">
      <c r="A205" s="29"/>
      <c r="B205" s="1"/>
      <c r="C205" s="1"/>
      <c r="D205" s="1"/>
    </row>
    <row r="206" spans="1:4" x14ac:dyDescent="0.25">
      <c r="A206" s="29"/>
      <c r="B206" s="1"/>
      <c r="C206" s="1"/>
      <c r="D206" s="1"/>
    </row>
    <row r="207" spans="1:4" x14ac:dyDescent="0.25">
      <c r="A207" s="29"/>
      <c r="B207" s="1"/>
      <c r="C207" s="1"/>
      <c r="D207" s="1"/>
    </row>
    <row r="208" spans="1:4" x14ac:dyDescent="0.25">
      <c r="A208" s="29"/>
      <c r="B208" s="1"/>
      <c r="C208" s="1"/>
      <c r="D208" s="1"/>
    </row>
    <row r="209" spans="1:4" x14ac:dyDescent="0.25">
      <c r="A209" s="29"/>
      <c r="B209" s="1"/>
      <c r="C209" s="1"/>
      <c r="D209" s="1"/>
    </row>
    <row r="210" spans="1:4" x14ac:dyDescent="0.25">
      <c r="A210" s="29"/>
      <c r="B210" s="1"/>
      <c r="C210" s="1"/>
      <c r="D210" s="1"/>
    </row>
    <row r="211" spans="1:4" x14ac:dyDescent="0.25">
      <c r="A211" s="29"/>
      <c r="B211" s="1"/>
      <c r="C211" s="1"/>
      <c r="D211" s="1"/>
    </row>
    <row r="212" spans="1:4" x14ac:dyDescent="0.25">
      <c r="A212" s="29"/>
      <c r="B212" s="1"/>
      <c r="C212" s="1"/>
      <c r="D212" s="1"/>
    </row>
    <row r="213" spans="1:4" x14ac:dyDescent="0.25">
      <c r="A213" s="29"/>
      <c r="B213" s="1"/>
      <c r="C213" s="1"/>
      <c r="D213" s="1"/>
    </row>
    <row r="214" spans="1:4" x14ac:dyDescent="0.25">
      <c r="A214" s="29"/>
      <c r="B214" s="1"/>
      <c r="C214" s="1"/>
      <c r="D214" s="1"/>
    </row>
    <row r="215" spans="1:4" x14ac:dyDescent="0.25">
      <c r="A215" s="29"/>
      <c r="B215" s="1"/>
      <c r="C215" s="1"/>
      <c r="D215" s="1"/>
    </row>
    <row r="216" spans="1:4" x14ac:dyDescent="0.25">
      <c r="A216" s="29"/>
      <c r="B216" s="1"/>
      <c r="C216" s="1"/>
      <c r="D216" s="1"/>
    </row>
    <row r="217" spans="1:4" x14ac:dyDescent="0.25">
      <c r="A217" s="29"/>
      <c r="B217" s="1"/>
      <c r="C217" s="1"/>
      <c r="D217" s="1"/>
    </row>
    <row r="218" spans="1:4" x14ac:dyDescent="0.25">
      <c r="A218" s="29"/>
      <c r="B218" s="1"/>
      <c r="C218" s="1"/>
      <c r="D218" s="1"/>
    </row>
    <row r="219" spans="1:4" x14ac:dyDescent="0.25">
      <c r="A219" s="29"/>
      <c r="B219" s="1"/>
      <c r="C219" s="1"/>
      <c r="D219" s="1"/>
    </row>
    <row r="220" spans="1:4" x14ac:dyDescent="0.25">
      <c r="A220" s="29"/>
      <c r="B220" s="1"/>
      <c r="C220" s="1"/>
      <c r="D220" s="1"/>
    </row>
    <row r="221" spans="1:4" x14ac:dyDescent="0.25">
      <c r="A221" s="29"/>
      <c r="B221" s="1"/>
      <c r="C221" s="1"/>
      <c r="D221" s="1"/>
    </row>
    <row r="222" spans="1:4" x14ac:dyDescent="0.25">
      <c r="A222" s="29"/>
      <c r="B222" s="1"/>
      <c r="C222" s="1"/>
      <c r="D222" s="1"/>
    </row>
    <row r="223" spans="1:4" x14ac:dyDescent="0.25">
      <c r="A223" s="29"/>
      <c r="B223" s="1"/>
      <c r="C223" s="1"/>
      <c r="D223" s="1"/>
    </row>
    <row r="224" spans="1:4" x14ac:dyDescent="0.25">
      <c r="A224" s="29"/>
      <c r="B224" s="1"/>
      <c r="C224" s="1"/>
      <c r="D224" s="1"/>
    </row>
    <row r="225" spans="1:4" x14ac:dyDescent="0.25">
      <c r="A225" s="29"/>
      <c r="B225" s="1"/>
      <c r="C225" s="1"/>
      <c r="D225" s="1"/>
    </row>
    <row r="226" spans="1:4" x14ac:dyDescent="0.25">
      <c r="A226" s="29"/>
      <c r="B226" s="1"/>
      <c r="C226" s="1"/>
      <c r="D226" s="1"/>
    </row>
    <row r="227" spans="1:4" x14ac:dyDescent="0.25">
      <c r="A227" s="29"/>
      <c r="B227" s="1"/>
      <c r="C227" s="1"/>
      <c r="D227" s="1"/>
    </row>
    <row r="228" spans="1:4" x14ac:dyDescent="0.25">
      <c r="A228" s="29"/>
      <c r="B228" s="1"/>
      <c r="C228" s="1"/>
      <c r="D228" s="1"/>
    </row>
    <row r="229" spans="1:4" x14ac:dyDescent="0.25">
      <c r="A229" s="29"/>
      <c r="B229" s="1"/>
      <c r="C229" s="1"/>
      <c r="D229" s="1"/>
    </row>
    <row r="230" spans="1:4" x14ac:dyDescent="0.25">
      <c r="A230" s="29"/>
      <c r="B230" s="1"/>
      <c r="C230" s="1"/>
      <c r="D230" s="1"/>
    </row>
    <row r="231" spans="1:4" x14ac:dyDescent="0.25">
      <c r="A231" s="29"/>
      <c r="B231" s="1"/>
      <c r="C231" s="1"/>
      <c r="D231" s="1"/>
    </row>
    <row r="232" spans="1:4" x14ac:dyDescent="0.25">
      <c r="A232" s="29"/>
      <c r="B232" s="1"/>
      <c r="C232" s="1"/>
      <c r="D232" s="1"/>
    </row>
    <row r="233" spans="1:4" x14ac:dyDescent="0.25">
      <c r="A233" s="29"/>
      <c r="B233" s="1"/>
      <c r="C233" s="1"/>
      <c r="D233" s="1"/>
    </row>
    <row r="234" spans="1:4" x14ac:dyDescent="0.25">
      <c r="A234" s="29"/>
      <c r="B234" s="1"/>
      <c r="C234" s="1"/>
      <c r="D234" s="1"/>
    </row>
    <row r="235" spans="1:4" x14ac:dyDescent="0.25">
      <c r="A235" s="29"/>
      <c r="B235" s="1"/>
      <c r="C235" s="1"/>
      <c r="D235" s="1"/>
    </row>
    <row r="236" spans="1:4" x14ac:dyDescent="0.25">
      <c r="A236" s="29"/>
      <c r="B236" s="1"/>
      <c r="C236" s="1"/>
      <c r="D236" s="1"/>
    </row>
    <row r="237" spans="1:4" x14ac:dyDescent="0.25">
      <c r="A237" s="29"/>
      <c r="B237" s="1"/>
      <c r="C237" s="1"/>
      <c r="D237" s="1"/>
    </row>
    <row r="238" spans="1:4" x14ac:dyDescent="0.25">
      <c r="A238" s="29"/>
      <c r="B238" s="1"/>
      <c r="C238" s="1"/>
      <c r="D238" s="1"/>
    </row>
    <row r="239" spans="1:4" x14ac:dyDescent="0.25">
      <c r="A239" s="29"/>
      <c r="B239" s="1"/>
      <c r="C239" s="1"/>
      <c r="D239" s="1"/>
    </row>
    <row r="240" spans="1:4" x14ac:dyDescent="0.25">
      <c r="A240" s="29"/>
      <c r="B240" s="1"/>
      <c r="C240" s="1"/>
      <c r="D240" s="1"/>
    </row>
    <row r="241" spans="1:4" x14ac:dyDescent="0.25">
      <c r="A241" s="29"/>
      <c r="B241" s="1"/>
      <c r="C241" s="1"/>
      <c r="D241" s="1"/>
    </row>
    <row r="242" spans="1:4" x14ac:dyDescent="0.25">
      <c r="A242" s="29"/>
      <c r="B242" s="1"/>
      <c r="C242" s="1"/>
      <c r="D242" s="1"/>
    </row>
    <row r="243" spans="1:4" x14ac:dyDescent="0.25">
      <c r="A243" s="29"/>
      <c r="B243" s="1"/>
      <c r="C243" s="1"/>
      <c r="D243" s="1"/>
    </row>
    <row r="244" spans="1:4" x14ac:dyDescent="0.25">
      <c r="A244" s="29"/>
      <c r="B244" s="1"/>
      <c r="C244" s="1"/>
      <c r="D244" s="1"/>
    </row>
    <row r="245" spans="1:4" x14ac:dyDescent="0.25">
      <c r="A245" s="29"/>
      <c r="B245" s="1"/>
      <c r="C245" s="1"/>
      <c r="D245" s="1"/>
    </row>
    <row r="246" spans="1:4" x14ac:dyDescent="0.25">
      <c r="A246" s="29"/>
      <c r="B246" s="1"/>
      <c r="C246" s="1"/>
      <c r="D246" s="1"/>
    </row>
    <row r="247" spans="1:4" x14ac:dyDescent="0.25">
      <c r="A247" s="29"/>
      <c r="B247" s="1"/>
      <c r="C247" s="1"/>
      <c r="D247" s="1"/>
    </row>
    <row r="248" spans="1:4" x14ac:dyDescent="0.25">
      <c r="A248" s="29"/>
      <c r="B248" s="1"/>
      <c r="C248" s="1"/>
      <c r="D248" s="1"/>
    </row>
    <row r="249" spans="1:4" x14ac:dyDescent="0.25">
      <c r="A249" s="29"/>
      <c r="B249" s="1"/>
      <c r="C249" s="1"/>
      <c r="D249" s="1"/>
    </row>
    <row r="250" spans="1:4" x14ac:dyDescent="0.25">
      <c r="A250" s="29"/>
      <c r="B250" s="1"/>
      <c r="C250" s="1"/>
      <c r="D250" s="1"/>
    </row>
    <row r="251" spans="1:4" x14ac:dyDescent="0.25">
      <c r="A251" s="29"/>
      <c r="B251" s="1"/>
      <c r="C251" s="1"/>
      <c r="D251" s="1"/>
    </row>
    <row r="252" spans="1:4" x14ac:dyDescent="0.25">
      <c r="A252" s="29"/>
      <c r="B252" s="1"/>
      <c r="C252" s="1"/>
      <c r="D252" s="1"/>
    </row>
    <row r="253" spans="1:4" x14ac:dyDescent="0.25">
      <c r="A253" s="29"/>
      <c r="B253" s="1"/>
      <c r="C253" s="1"/>
      <c r="D253" s="1"/>
    </row>
    <row r="254" spans="1:4" x14ac:dyDescent="0.25">
      <c r="A254" s="29"/>
      <c r="B254" s="1"/>
      <c r="C254" s="1"/>
      <c r="D254" s="1"/>
    </row>
    <row r="255" spans="1:4" x14ac:dyDescent="0.25">
      <c r="A255" s="29"/>
      <c r="B255" s="1"/>
      <c r="C255" s="1"/>
      <c r="D255" s="1"/>
    </row>
    <row r="256" spans="1:4" x14ac:dyDescent="0.25">
      <c r="A256" s="29"/>
      <c r="B256" s="1"/>
      <c r="C256" s="1"/>
      <c r="D256" s="1"/>
    </row>
    <row r="257" spans="1:4" x14ac:dyDescent="0.25">
      <c r="A257" s="29"/>
      <c r="B257" s="1"/>
      <c r="C257" s="1"/>
      <c r="D257" s="1"/>
    </row>
    <row r="258" spans="1:4" x14ac:dyDescent="0.25">
      <c r="A258" s="29"/>
      <c r="B258" s="1"/>
      <c r="C258" s="1"/>
      <c r="D258" s="1"/>
    </row>
    <row r="259" spans="1:4" x14ac:dyDescent="0.25">
      <c r="A259" s="29"/>
      <c r="B259" s="1"/>
      <c r="C259" s="1"/>
      <c r="D259" s="1"/>
    </row>
    <row r="260" spans="1:4" x14ac:dyDescent="0.25">
      <c r="A260" s="29"/>
      <c r="B260" s="1"/>
      <c r="C260" s="1"/>
      <c r="D260" s="1"/>
    </row>
    <row r="261" spans="1:4" x14ac:dyDescent="0.25">
      <c r="A261" s="29"/>
      <c r="B261" s="1"/>
      <c r="C261" s="1"/>
      <c r="D261" s="1"/>
    </row>
    <row r="262" spans="1:4" x14ac:dyDescent="0.25">
      <c r="A262" s="29"/>
      <c r="B262" s="1"/>
      <c r="C262" s="1"/>
      <c r="D262" s="1"/>
    </row>
    <row r="263" spans="1:4" x14ac:dyDescent="0.25">
      <c r="A263" s="29"/>
      <c r="B263" s="1"/>
      <c r="C263" s="1"/>
      <c r="D263" s="1"/>
    </row>
    <row r="264" spans="1:4" x14ac:dyDescent="0.25">
      <c r="A264" s="29"/>
      <c r="B264" s="1"/>
      <c r="C264" s="1"/>
      <c r="D264" s="1"/>
    </row>
    <row r="265" spans="1:4" x14ac:dyDescent="0.25">
      <c r="A265" s="29"/>
      <c r="B265" s="1"/>
      <c r="C265" s="1"/>
      <c r="D265" s="1"/>
    </row>
    <row r="266" spans="1:4" x14ac:dyDescent="0.25">
      <c r="A266" s="29"/>
      <c r="B266" s="1"/>
      <c r="C266" s="1"/>
      <c r="D266" s="1"/>
    </row>
    <row r="267" spans="1:4" x14ac:dyDescent="0.25">
      <c r="A267" s="29"/>
      <c r="B267" s="1"/>
      <c r="C267" s="1"/>
      <c r="D267" s="1"/>
    </row>
    <row r="268" spans="1:4" x14ac:dyDescent="0.25">
      <c r="A268" s="29"/>
      <c r="B268" s="1"/>
      <c r="C268" s="1"/>
      <c r="D268" s="1"/>
    </row>
    <row r="269" spans="1:4" x14ac:dyDescent="0.25">
      <c r="A269" s="29"/>
      <c r="B269" s="1"/>
      <c r="C269" s="1"/>
      <c r="D269" s="1"/>
    </row>
    <row r="270" spans="1:4" x14ac:dyDescent="0.25">
      <c r="A270" s="29"/>
      <c r="B270" s="1"/>
      <c r="C270" s="1"/>
      <c r="D270" s="1"/>
    </row>
    <row r="271" spans="1:4" x14ac:dyDescent="0.25">
      <c r="A271" s="29"/>
      <c r="B271" s="1"/>
      <c r="C271" s="1"/>
      <c r="D271" s="1"/>
    </row>
    <row r="272" spans="1:4" x14ac:dyDescent="0.25">
      <c r="A272" s="29"/>
      <c r="B272" s="1"/>
      <c r="C272" s="1"/>
      <c r="D272" s="1"/>
    </row>
    <row r="273" spans="1:4" x14ac:dyDescent="0.25">
      <c r="A273" s="29"/>
      <c r="B273" s="1"/>
      <c r="C273" s="1"/>
      <c r="D273" s="1"/>
    </row>
    <row r="274" spans="1:4" x14ac:dyDescent="0.25">
      <c r="A274" s="29"/>
      <c r="B274" s="1"/>
      <c r="C274" s="1"/>
      <c r="D274" s="1"/>
    </row>
    <row r="275" spans="1:4" x14ac:dyDescent="0.25">
      <c r="A275" s="29"/>
      <c r="B275" s="1"/>
      <c r="C275" s="1"/>
      <c r="D275" s="1"/>
    </row>
    <row r="276" spans="1:4" x14ac:dyDescent="0.25">
      <c r="A276" s="29"/>
      <c r="B276" s="1"/>
      <c r="C276" s="1"/>
      <c r="D276" s="1"/>
    </row>
    <row r="277" spans="1:4" x14ac:dyDescent="0.25">
      <c r="A277" s="29"/>
      <c r="B277" s="1"/>
      <c r="C277" s="1"/>
      <c r="D277" s="1"/>
    </row>
    <row r="278" spans="1:4" x14ac:dyDescent="0.25">
      <c r="A278" s="29"/>
      <c r="B278" s="1"/>
      <c r="C278" s="1"/>
      <c r="D278" s="1"/>
    </row>
    <row r="279" spans="1:4" x14ac:dyDescent="0.25">
      <c r="A279" s="29"/>
      <c r="B279" s="1"/>
      <c r="C279" s="1"/>
      <c r="D279" s="1"/>
    </row>
    <row r="280" spans="1:4" x14ac:dyDescent="0.25">
      <c r="A280" s="29"/>
      <c r="B280" s="1"/>
      <c r="C280" s="1"/>
      <c r="D280" s="1"/>
    </row>
    <row r="281" spans="1:4" x14ac:dyDescent="0.25">
      <c r="A281" s="29"/>
      <c r="B281" s="1"/>
      <c r="C281" s="1"/>
      <c r="D281" s="1"/>
    </row>
    <row r="282" spans="1:4" x14ac:dyDescent="0.25">
      <c r="A282" s="29"/>
      <c r="B282" s="1"/>
      <c r="C282" s="1"/>
      <c r="D282" s="1"/>
    </row>
    <row r="283" spans="1:4" x14ac:dyDescent="0.25">
      <c r="A283" s="29"/>
      <c r="B283" s="1"/>
      <c r="C283" s="1"/>
      <c r="D283" s="1"/>
    </row>
    <row r="284" spans="1:4" x14ac:dyDescent="0.25">
      <c r="A284" s="29"/>
      <c r="B284" s="1"/>
      <c r="C284" s="1"/>
      <c r="D284" s="1"/>
    </row>
    <row r="285" spans="1:4" x14ac:dyDescent="0.25">
      <c r="A285" s="29"/>
      <c r="B285" s="1"/>
      <c r="C285" s="1"/>
      <c r="D285" s="1"/>
    </row>
    <row r="286" spans="1:4" x14ac:dyDescent="0.25">
      <c r="A286" s="29"/>
      <c r="B286" s="1"/>
      <c r="C286" s="1"/>
      <c r="D286" s="1"/>
    </row>
    <row r="287" spans="1:4" x14ac:dyDescent="0.25">
      <c r="A287" s="29"/>
      <c r="B287" s="1"/>
      <c r="C287" s="1"/>
      <c r="D287" s="1"/>
    </row>
    <row r="288" spans="1:4" x14ac:dyDescent="0.25">
      <c r="A288" s="29"/>
      <c r="B288" s="1"/>
      <c r="C288" s="1"/>
      <c r="D288" s="1"/>
    </row>
    <row r="289" spans="1:4" x14ac:dyDescent="0.25">
      <c r="A289" s="29"/>
      <c r="B289" s="1"/>
      <c r="C289" s="1"/>
      <c r="D289" s="1"/>
    </row>
    <row r="290" spans="1:4" x14ac:dyDescent="0.25">
      <c r="A290" s="29"/>
      <c r="B290" s="1"/>
      <c r="C290" s="1"/>
      <c r="D290" s="1"/>
    </row>
    <row r="291" spans="1:4" x14ac:dyDescent="0.25">
      <c r="A291" s="29"/>
      <c r="B291" s="1"/>
      <c r="C291" s="1"/>
      <c r="D291" s="1"/>
    </row>
    <row r="292" spans="1:4" x14ac:dyDescent="0.25">
      <c r="A292" s="29"/>
      <c r="B292" s="1"/>
      <c r="C292" s="1"/>
      <c r="D292" s="1"/>
    </row>
    <row r="293" spans="1:4" x14ac:dyDescent="0.25">
      <c r="A293" s="29"/>
      <c r="B293" s="1"/>
      <c r="C293" s="1"/>
      <c r="D293" s="1"/>
    </row>
    <row r="294" spans="1:4" x14ac:dyDescent="0.25">
      <c r="A294" s="29"/>
      <c r="B294" s="1"/>
      <c r="C294" s="1"/>
      <c r="D294" s="1"/>
    </row>
    <row r="295" spans="1:4" x14ac:dyDescent="0.25">
      <c r="A295" s="29"/>
      <c r="B295" s="1"/>
      <c r="C295" s="1"/>
      <c r="D295" s="1"/>
    </row>
    <row r="296" spans="1:4" x14ac:dyDescent="0.25">
      <c r="A296" s="29"/>
      <c r="B296" s="1"/>
      <c r="C296" s="1"/>
      <c r="D296" s="1"/>
    </row>
    <row r="297" spans="1:4" x14ac:dyDescent="0.25">
      <c r="A297" s="29"/>
      <c r="B297" s="1"/>
      <c r="C297" s="1"/>
      <c r="D297" s="1"/>
    </row>
    <row r="298" spans="1:4" x14ac:dyDescent="0.25">
      <c r="A298" s="29"/>
      <c r="B298" s="1"/>
      <c r="C298" s="1"/>
      <c r="D298" s="1"/>
    </row>
    <row r="299" spans="1:4" x14ac:dyDescent="0.25">
      <c r="A299" s="29"/>
      <c r="B299" s="1"/>
      <c r="C299" s="1"/>
      <c r="D299" s="1"/>
    </row>
    <row r="300" spans="1:4" x14ac:dyDescent="0.25">
      <c r="A300" s="29"/>
      <c r="B300" s="1"/>
      <c r="C300" s="1"/>
      <c r="D300" s="1"/>
    </row>
    <row r="301" spans="1:4" x14ac:dyDescent="0.25">
      <c r="A301" s="1"/>
      <c r="B301" s="1"/>
      <c r="C301" s="1"/>
      <c r="D301" s="1"/>
    </row>
    <row r="303" spans="1:4" x14ac:dyDescent="0.25">
      <c r="A303" s="18" t="s">
        <v>7</v>
      </c>
      <c r="B303" s="18" t="s">
        <v>7</v>
      </c>
    </row>
    <row r="304" spans="1:4" x14ac:dyDescent="0.25">
      <c r="A304" s="18" t="s">
        <v>2</v>
      </c>
      <c r="B304" s="18" t="s">
        <v>98</v>
      </c>
    </row>
    <row r="305" spans="1:2" x14ac:dyDescent="0.25">
      <c r="A305" s="18" t="s">
        <v>11</v>
      </c>
      <c r="B305" s="18" t="s">
        <v>99</v>
      </c>
    </row>
    <row r="306" spans="1:2" x14ac:dyDescent="0.25">
      <c r="A306" s="18" t="s">
        <v>24</v>
      </c>
      <c r="B306" s="18" t="s">
        <v>100</v>
      </c>
    </row>
    <row r="307" spans="1:2" x14ac:dyDescent="0.25">
      <c r="A307" s="18" t="s">
        <v>16</v>
      </c>
      <c r="B307" s="18" t="s">
        <v>101</v>
      </c>
    </row>
    <row r="308" spans="1:2" x14ac:dyDescent="0.25">
      <c r="A308" s="18" t="s">
        <v>25</v>
      </c>
      <c r="B308" s="18" t="s">
        <v>102</v>
      </c>
    </row>
    <row r="309" spans="1:2" x14ac:dyDescent="0.25">
      <c r="A309" s="18" t="s">
        <v>12</v>
      </c>
      <c r="B309" s="18" t="s">
        <v>103</v>
      </c>
    </row>
    <row r="310" spans="1:2" x14ac:dyDescent="0.25">
      <c r="A310" s="18" t="s">
        <v>3</v>
      </c>
      <c r="B310" s="18" t="s">
        <v>104</v>
      </c>
    </row>
    <row r="311" spans="1:2" x14ac:dyDescent="0.25">
      <c r="A311" s="18" t="s">
        <v>17</v>
      </c>
      <c r="B311" s="18" t="s">
        <v>105</v>
      </c>
    </row>
    <row r="312" spans="1:2" x14ac:dyDescent="0.25">
      <c r="A312" s="18" t="s">
        <v>10</v>
      </c>
      <c r="B312" s="18" t="s">
        <v>106</v>
      </c>
    </row>
    <row r="313" spans="1:2" x14ac:dyDescent="0.25">
      <c r="A313" s="18" t="s">
        <v>8</v>
      </c>
      <c r="B313" s="18" t="s">
        <v>107</v>
      </c>
    </row>
    <row r="314" spans="1:2" x14ac:dyDescent="0.25">
      <c r="A314" s="18" t="s">
        <v>9</v>
      </c>
      <c r="B314" s="18" t="s">
        <v>108</v>
      </c>
    </row>
    <row r="315" spans="1:2" x14ac:dyDescent="0.25">
      <c r="A315" s="18" t="s">
        <v>26</v>
      </c>
      <c r="B315" s="18" t="s">
        <v>109</v>
      </c>
    </row>
    <row r="316" spans="1:2" x14ac:dyDescent="0.25">
      <c r="A316" s="18" t="s">
        <v>4</v>
      </c>
      <c r="B316" s="18" t="s">
        <v>110</v>
      </c>
    </row>
    <row r="317" spans="1:2" x14ac:dyDescent="0.25">
      <c r="A317" s="18" t="s">
        <v>13</v>
      </c>
      <c r="B317" s="18"/>
    </row>
    <row r="318" spans="1:2" x14ac:dyDescent="0.25">
      <c r="A318" s="18" t="s">
        <v>15</v>
      </c>
      <c r="B318" s="18" t="s">
        <v>2</v>
      </c>
    </row>
    <row r="319" spans="1:2" x14ac:dyDescent="0.25">
      <c r="A319" s="18" t="s">
        <v>6</v>
      </c>
      <c r="B319" s="18" t="s">
        <v>111</v>
      </c>
    </row>
    <row r="320" spans="1:2" x14ac:dyDescent="0.25">
      <c r="A320" s="18" t="s">
        <v>27</v>
      </c>
      <c r="B320" s="18" t="s">
        <v>112</v>
      </c>
    </row>
    <row r="321" spans="1:2" x14ac:dyDescent="0.25">
      <c r="A321" s="18" t="s">
        <v>18</v>
      </c>
      <c r="B321" s="18" t="s">
        <v>113</v>
      </c>
    </row>
    <row r="322" spans="1:2" x14ac:dyDescent="0.25">
      <c r="A322" s="18" t="s">
        <v>14</v>
      </c>
      <c r="B322" s="18" t="s">
        <v>114</v>
      </c>
    </row>
    <row r="323" spans="1:2" x14ac:dyDescent="0.25">
      <c r="A323" s="18" t="s">
        <v>5</v>
      </c>
      <c r="B323" s="18" t="s">
        <v>115</v>
      </c>
    </row>
    <row r="324" spans="1:2" x14ac:dyDescent="0.25">
      <c r="A324" s="18" t="s">
        <v>28</v>
      </c>
      <c r="B324" s="18" t="s">
        <v>116</v>
      </c>
    </row>
    <row r="325" spans="1:2" x14ac:dyDescent="0.25">
      <c r="A325" s="18" t="s">
        <v>23</v>
      </c>
      <c r="B325" s="18" t="s">
        <v>117</v>
      </c>
    </row>
    <row r="326" spans="1:2" x14ac:dyDescent="0.25">
      <c r="A326" s="18" t="s">
        <v>1</v>
      </c>
      <c r="B326" s="18" t="s">
        <v>118</v>
      </c>
    </row>
    <row r="327" spans="1:2" x14ac:dyDescent="0.25">
      <c r="A327" s="18" t="s">
        <v>19</v>
      </c>
      <c r="B327" s="18" t="s">
        <v>119</v>
      </c>
    </row>
    <row r="328" spans="1:2" x14ac:dyDescent="0.25">
      <c r="B328" s="18" t="s">
        <v>120</v>
      </c>
    </row>
    <row r="329" spans="1:2" x14ac:dyDescent="0.25">
      <c r="B329" s="18" t="s">
        <v>121</v>
      </c>
    </row>
    <row r="330" spans="1:2" x14ac:dyDescent="0.25">
      <c r="B330" s="18" t="s">
        <v>122</v>
      </c>
    </row>
    <row r="331" spans="1:2" x14ac:dyDescent="0.25">
      <c r="B331" s="18" t="s">
        <v>123</v>
      </c>
    </row>
    <row r="332" spans="1:2" x14ac:dyDescent="0.25">
      <c r="B332" s="18" t="s">
        <v>124</v>
      </c>
    </row>
    <row r="333" spans="1:2" x14ac:dyDescent="0.25">
      <c r="B333" s="18" t="s">
        <v>125</v>
      </c>
    </row>
    <row r="334" spans="1:2" x14ac:dyDescent="0.25">
      <c r="B334" s="18" t="s">
        <v>126</v>
      </c>
    </row>
    <row r="335" spans="1:2" x14ac:dyDescent="0.25">
      <c r="B335" s="18" t="s">
        <v>127</v>
      </c>
    </row>
    <row r="336" spans="1:2" x14ac:dyDescent="0.25">
      <c r="B336" s="18"/>
    </row>
    <row r="337" spans="2:2" x14ac:dyDescent="0.25">
      <c r="B337" s="18" t="s">
        <v>11</v>
      </c>
    </row>
    <row r="338" spans="2:2" x14ac:dyDescent="0.25">
      <c r="B338" s="18" t="s">
        <v>128</v>
      </c>
    </row>
    <row r="339" spans="2:2" x14ac:dyDescent="0.25">
      <c r="B339" s="18" t="s">
        <v>129</v>
      </c>
    </row>
    <row r="340" spans="2:2" x14ac:dyDescent="0.25">
      <c r="B340" s="18" t="s">
        <v>130</v>
      </c>
    </row>
    <row r="341" spans="2:2" x14ac:dyDescent="0.25">
      <c r="B341" s="18" t="s">
        <v>131</v>
      </c>
    </row>
    <row r="342" spans="2:2" x14ac:dyDescent="0.25">
      <c r="B342" s="18" t="s">
        <v>132</v>
      </c>
    </row>
    <row r="343" spans="2:2" x14ac:dyDescent="0.25">
      <c r="B343" s="18" t="s">
        <v>133</v>
      </c>
    </row>
    <row r="344" spans="2:2" x14ac:dyDescent="0.25">
      <c r="B344" s="18" t="s">
        <v>134</v>
      </c>
    </row>
    <row r="345" spans="2:2" x14ac:dyDescent="0.25">
      <c r="B345" s="18" t="s">
        <v>135</v>
      </c>
    </row>
    <row r="346" spans="2:2" x14ac:dyDescent="0.25">
      <c r="B346" s="18" t="s">
        <v>136</v>
      </c>
    </row>
    <row r="347" spans="2:2" x14ac:dyDescent="0.25">
      <c r="B347" s="18"/>
    </row>
    <row r="348" spans="2:2" x14ac:dyDescent="0.25">
      <c r="B348" s="18" t="s">
        <v>24</v>
      </c>
    </row>
    <row r="349" spans="2:2" x14ac:dyDescent="0.25">
      <c r="B349" s="18" t="s">
        <v>137</v>
      </c>
    </row>
    <row r="350" spans="2:2" x14ac:dyDescent="0.25">
      <c r="B350" s="18" t="s">
        <v>138</v>
      </c>
    </row>
    <row r="351" spans="2:2" x14ac:dyDescent="0.25">
      <c r="B351" s="18" t="s">
        <v>139</v>
      </c>
    </row>
    <row r="352" spans="2:2" x14ac:dyDescent="0.25">
      <c r="B352" s="18" t="s">
        <v>140</v>
      </c>
    </row>
    <row r="353" spans="2:2" x14ac:dyDescent="0.25">
      <c r="B353" s="18" t="s">
        <v>141</v>
      </c>
    </row>
    <row r="354" spans="2:2" x14ac:dyDescent="0.25">
      <c r="B354" s="18" t="s">
        <v>142</v>
      </c>
    </row>
    <row r="355" spans="2:2" x14ac:dyDescent="0.25">
      <c r="B355" s="18" t="s">
        <v>143</v>
      </c>
    </row>
    <row r="356" spans="2:2" x14ac:dyDescent="0.25">
      <c r="B356" s="18" t="s">
        <v>144</v>
      </c>
    </row>
    <row r="357" spans="2:2" x14ac:dyDescent="0.25">
      <c r="B357" s="18" t="s">
        <v>145</v>
      </c>
    </row>
    <row r="358" spans="2:2" x14ac:dyDescent="0.25">
      <c r="B358" s="18" t="s">
        <v>146</v>
      </c>
    </row>
    <row r="359" spans="2:2" x14ac:dyDescent="0.25">
      <c r="B359" s="18" t="s">
        <v>147</v>
      </c>
    </row>
    <row r="360" spans="2:2" x14ac:dyDescent="0.25">
      <c r="B360" s="18"/>
    </row>
    <row r="361" spans="2:2" x14ac:dyDescent="0.25">
      <c r="B361" s="18" t="s">
        <v>16</v>
      </c>
    </row>
    <row r="362" spans="2:2" x14ac:dyDescent="0.25">
      <c r="B362" s="18" t="s">
        <v>148</v>
      </c>
    </row>
    <row r="363" spans="2:2" x14ac:dyDescent="0.25">
      <c r="B363" s="18" t="s">
        <v>149</v>
      </c>
    </row>
    <row r="364" spans="2:2" x14ac:dyDescent="0.25">
      <c r="B364" s="18" t="s">
        <v>150</v>
      </c>
    </row>
    <row r="365" spans="2:2" x14ac:dyDescent="0.25">
      <c r="B365" s="18" t="s">
        <v>151</v>
      </c>
    </row>
    <row r="366" spans="2:2" x14ac:dyDescent="0.25">
      <c r="B366" s="18" t="s">
        <v>152</v>
      </c>
    </row>
    <row r="367" spans="2:2" x14ac:dyDescent="0.25">
      <c r="B367" s="18" t="s">
        <v>153</v>
      </c>
    </row>
    <row r="368" spans="2:2" x14ac:dyDescent="0.25">
      <c r="B368" s="18" t="s">
        <v>154</v>
      </c>
    </row>
    <row r="369" spans="2:2" x14ac:dyDescent="0.25">
      <c r="B369" s="18" t="s">
        <v>155</v>
      </c>
    </row>
    <row r="370" spans="2:2" x14ac:dyDescent="0.25">
      <c r="B370" s="18"/>
    </row>
    <row r="371" spans="2:2" x14ac:dyDescent="0.25">
      <c r="B371" s="18" t="s">
        <v>25</v>
      </c>
    </row>
    <row r="372" spans="2:2" x14ac:dyDescent="0.25">
      <c r="B372" s="18" t="s">
        <v>156</v>
      </c>
    </row>
    <row r="373" spans="2:2" x14ac:dyDescent="0.25">
      <c r="B373" s="18" t="s">
        <v>157</v>
      </c>
    </row>
    <row r="374" spans="2:2" x14ac:dyDescent="0.25">
      <c r="B374" s="18" t="s">
        <v>158</v>
      </c>
    </row>
    <row r="375" spans="2:2" x14ac:dyDescent="0.25">
      <c r="B375" s="18" t="s">
        <v>159</v>
      </c>
    </row>
    <row r="376" spans="2:2" x14ac:dyDescent="0.25">
      <c r="B376" s="18" t="s">
        <v>160</v>
      </c>
    </row>
    <row r="377" spans="2:2" x14ac:dyDescent="0.25">
      <c r="B377" s="18" t="s">
        <v>161</v>
      </c>
    </row>
    <row r="378" spans="2:2" x14ac:dyDescent="0.25">
      <c r="B378" s="18" t="s">
        <v>162</v>
      </c>
    </row>
    <row r="379" spans="2:2" x14ac:dyDescent="0.25">
      <c r="B379" s="18" t="s">
        <v>163</v>
      </c>
    </row>
    <row r="380" spans="2:2" x14ac:dyDescent="0.25">
      <c r="B380" s="18" t="s">
        <v>164</v>
      </c>
    </row>
    <row r="381" spans="2:2" x14ac:dyDescent="0.25">
      <c r="B381" s="18" t="s">
        <v>165</v>
      </c>
    </row>
    <row r="382" spans="2:2" x14ac:dyDescent="0.25">
      <c r="B382" s="18"/>
    </row>
    <row r="383" spans="2:2" x14ac:dyDescent="0.25">
      <c r="B383" s="18" t="s">
        <v>12</v>
      </c>
    </row>
    <row r="384" spans="2:2" x14ac:dyDescent="0.25">
      <c r="B384" s="18" t="s">
        <v>166</v>
      </c>
    </row>
    <row r="385" spans="2:2" x14ac:dyDescent="0.25">
      <c r="B385" s="18" t="s">
        <v>167</v>
      </c>
    </row>
    <row r="386" spans="2:2" x14ac:dyDescent="0.25">
      <c r="B386" s="18" t="s">
        <v>168</v>
      </c>
    </row>
    <row r="387" spans="2:2" x14ac:dyDescent="0.25">
      <c r="B387" s="18" t="s">
        <v>169</v>
      </c>
    </row>
    <row r="388" spans="2:2" x14ac:dyDescent="0.25">
      <c r="B388" s="18" t="s">
        <v>170</v>
      </c>
    </row>
    <row r="389" spans="2:2" x14ac:dyDescent="0.25">
      <c r="B389" s="18" t="s">
        <v>171</v>
      </c>
    </row>
    <row r="390" spans="2:2" x14ac:dyDescent="0.25">
      <c r="B390" s="18" t="s">
        <v>172</v>
      </c>
    </row>
    <row r="391" spans="2:2" x14ac:dyDescent="0.25">
      <c r="B391" s="18" t="s">
        <v>173</v>
      </c>
    </row>
    <row r="392" spans="2:2" x14ac:dyDescent="0.25">
      <c r="B392" s="18" t="s">
        <v>174</v>
      </c>
    </row>
    <row r="393" spans="2:2" x14ac:dyDescent="0.25">
      <c r="B393" s="18"/>
    </row>
    <row r="394" spans="2:2" x14ac:dyDescent="0.25">
      <c r="B394" s="18" t="s">
        <v>3</v>
      </c>
    </row>
    <row r="395" spans="2:2" x14ac:dyDescent="0.25">
      <c r="B395" s="18" t="s">
        <v>175</v>
      </c>
    </row>
    <row r="396" spans="2:2" x14ac:dyDescent="0.25">
      <c r="B396" s="18" t="s">
        <v>176</v>
      </c>
    </row>
    <row r="397" spans="2:2" x14ac:dyDescent="0.25">
      <c r="B397" s="18" t="s">
        <v>177</v>
      </c>
    </row>
    <row r="398" spans="2:2" x14ac:dyDescent="0.25">
      <c r="B398" s="18" t="s">
        <v>178</v>
      </c>
    </row>
    <row r="399" spans="2:2" x14ac:dyDescent="0.25">
      <c r="B399" s="18" t="s">
        <v>179</v>
      </c>
    </row>
    <row r="400" spans="2:2" x14ac:dyDescent="0.25">
      <c r="B400" s="18" t="s">
        <v>180</v>
      </c>
    </row>
    <row r="401" spans="2:2" x14ac:dyDescent="0.25">
      <c r="B401" s="18" t="s">
        <v>181</v>
      </c>
    </row>
    <row r="402" spans="2:2" x14ac:dyDescent="0.25">
      <c r="B402" s="18" t="s">
        <v>182</v>
      </c>
    </row>
    <row r="403" spans="2:2" x14ac:dyDescent="0.25">
      <c r="B403" s="18" t="s">
        <v>183</v>
      </c>
    </row>
    <row r="404" spans="2:2" x14ac:dyDescent="0.25">
      <c r="B404" s="18" t="s">
        <v>184</v>
      </c>
    </row>
    <row r="405" spans="2:2" x14ac:dyDescent="0.25">
      <c r="B405" s="18" t="s">
        <v>185</v>
      </c>
    </row>
    <row r="406" spans="2:2" x14ac:dyDescent="0.25">
      <c r="B406" s="18" t="s">
        <v>186</v>
      </c>
    </row>
    <row r="407" spans="2:2" x14ac:dyDescent="0.25">
      <c r="B407" s="18" t="s">
        <v>187</v>
      </c>
    </row>
    <row r="408" spans="2:2" x14ac:dyDescent="0.25">
      <c r="B408" s="18"/>
    </row>
    <row r="409" spans="2:2" x14ac:dyDescent="0.25">
      <c r="B409" s="18" t="s">
        <v>17</v>
      </c>
    </row>
    <row r="410" spans="2:2" x14ac:dyDescent="0.25">
      <c r="B410" s="18" t="s">
        <v>188</v>
      </c>
    </row>
    <row r="411" spans="2:2" x14ac:dyDescent="0.25">
      <c r="B411" s="18" t="s">
        <v>189</v>
      </c>
    </row>
    <row r="412" spans="2:2" x14ac:dyDescent="0.25">
      <c r="B412" s="18" t="s">
        <v>190</v>
      </c>
    </row>
    <row r="413" spans="2:2" x14ac:dyDescent="0.25">
      <c r="B413" s="18" t="s">
        <v>191</v>
      </c>
    </row>
    <row r="414" spans="2:2" x14ac:dyDescent="0.25">
      <c r="B414" s="18" t="s">
        <v>192</v>
      </c>
    </row>
    <row r="415" spans="2:2" x14ac:dyDescent="0.25">
      <c r="B415" s="18" t="s">
        <v>193</v>
      </c>
    </row>
    <row r="416" spans="2:2" x14ac:dyDescent="0.25">
      <c r="B416" s="18" t="s">
        <v>194</v>
      </c>
    </row>
    <row r="417" spans="2:2" x14ac:dyDescent="0.25">
      <c r="B417" s="18" t="s">
        <v>195</v>
      </c>
    </row>
    <row r="418" spans="2:2" x14ac:dyDescent="0.25">
      <c r="B418" s="18" t="s">
        <v>196</v>
      </c>
    </row>
    <row r="419" spans="2:2" x14ac:dyDescent="0.25">
      <c r="B419" s="18" t="s">
        <v>197</v>
      </c>
    </row>
    <row r="420" spans="2:2" x14ac:dyDescent="0.25">
      <c r="B420" s="18"/>
    </row>
    <row r="421" spans="2:2" x14ac:dyDescent="0.25">
      <c r="B421" s="18" t="s">
        <v>10</v>
      </c>
    </row>
    <row r="422" spans="2:2" x14ac:dyDescent="0.25">
      <c r="B422" s="18" t="s">
        <v>198</v>
      </c>
    </row>
    <row r="423" spans="2:2" x14ac:dyDescent="0.25">
      <c r="B423" s="18" t="s">
        <v>199</v>
      </c>
    </row>
    <row r="424" spans="2:2" x14ac:dyDescent="0.25">
      <c r="B424" s="18" t="s">
        <v>200</v>
      </c>
    </row>
    <row r="425" spans="2:2" x14ac:dyDescent="0.25">
      <c r="B425" s="18" t="s">
        <v>201</v>
      </c>
    </row>
    <row r="426" spans="2:2" x14ac:dyDescent="0.25">
      <c r="B426" s="18" t="s">
        <v>202</v>
      </c>
    </row>
    <row r="427" spans="2:2" x14ac:dyDescent="0.25">
      <c r="B427" s="18" t="s">
        <v>203</v>
      </c>
    </row>
    <row r="428" spans="2:2" x14ac:dyDescent="0.25">
      <c r="B428" s="18" t="s">
        <v>204</v>
      </c>
    </row>
    <row r="429" spans="2:2" x14ac:dyDescent="0.25">
      <c r="B429" s="18"/>
    </row>
    <row r="430" spans="2:2" x14ac:dyDescent="0.25">
      <c r="B430" s="18" t="s">
        <v>8</v>
      </c>
    </row>
    <row r="431" spans="2:2" x14ac:dyDescent="0.25">
      <c r="B431" s="18" t="s">
        <v>205</v>
      </c>
    </row>
    <row r="432" spans="2:2" x14ac:dyDescent="0.25">
      <c r="B432" s="18" t="s">
        <v>206</v>
      </c>
    </row>
    <row r="433" spans="2:2" x14ac:dyDescent="0.25">
      <c r="B433" s="18" t="s">
        <v>207</v>
      </c>
    </row>
    <row r="434" spans="2:2" x14ac:dyDescent="0.25">
      <c r="B434" s="18" t="s">
        <v>208</v>
      </c>
    </row>
    <row r="435" spans="2:2" x14ac:dyDescent="0.25">
      <c r="B435" s="18" t="s">
        <v>209</v>
      </c>
    </row>
    <row r="436" spans="2:2" x14ac:dyDescent="0.25">
      <c r="B436" s="18" t="s">
        <v>210</v>
      </c>
    </row>
    <row r="437" spans="2:2" x14ac:dyDescent="0.25">
      <c r="B437" s="18"/>
    </row>
    <row r="438" spans="2:2" x14ac:dyDescent="0.25">
      <c r="B438" s="18" t="s">
        <v>9</v>
      </c>
    </row>
    <row r="439" spans="2:2" x14ac:dyDescent="0.25">
      <c r="B439" s="18" t="s">
        <v>211</v>
      </c>
    </row>
    <row r="440" spans="2:2" x14ac:dyDescent="0.25">
      <c r="B440" s="18" t="s">
        <v>212</v>
      </c>
    </row>
    <row r="441" spans="2:2" x14ac:dyDescent="0.25">
      <c r="B441" s="18" t="s">
        <v>213</v>
      </c>
    </row>
    <row r="442" spans="2:2" x14ac:dyDescent="0.25">
      <c r="B442" s="18" t="s">
        <v>214</v>
      </c>
    </row>
    <row r="443" spans="2:2" x14ac:dyDescent="0.25">
      <c r="B443" s="18" t="s">
        <v>215</v>
      </c>
    </row>
    <row r="444" spans="2:2" x14ac:dyDescent="0.25">
      <c r="B444" s="18" t="s">
        <v>216</v>
      </c>
    </row>
    <row r="445" spans="2:2" x14ac:dyDescent="0.25">
      <c r="B445" s="18" t="s">
        <v>217</v>
      </c>
    </row>
    <row r="446" spans="2:2" x14ac:dyDescent="0.25">
      <c r="B446" s="18" t="s">
        <v>218</v>
      </c>
    </row>
    <row r="447" spans="2:2" x14ac:dyDescent="0.25">
      <c r="B447" s="18" t="s">
        <v>219</v>
      </c>
    </row>
    <row r="448" spans="2:2" x14ac:dyDescent="0.25">
      <c r="B448" s="18"/>
    </row>
    <row r="449" spans="2:2" x14ac:dyDescent="0.25">
      <c r="B449" s="18" t="s">
        <v>26</v>
      </c>
    </row>
    <row r="450" spans="2:2" x14ac:dyDescent="0.25">
      <c r="B450" s="18" t="s">
        <v>220</v>
      </c>
    </row>
    <row r="451" spans="2:2" x14ac:dyDescent="0.25">
      <c r="B451" s="18" t="s">
        <v>221</v>
      </c>
    </row>
    <row r="452" spans="2:2" x14ac:dyDescent="0.25">
      <c r="B452" s="18" t="s">
        <v>222</v>
      </c>
    </row>
    <row r="453" spans="2:2" x14ac:dyDescent="0.25">
      <c r="B453" s="18" t="s">
        <v>20</v>
      </c>
    </row>
    <row r="454" spans="2:2" x14ac:dyDescent="0.25">
      <c r="B454" s="18" t="s">
        <v>223</v>
      </c>
    </row>
    <row r="455" spans="2:2" x14ac:dyDescent="0.25">
      <c r="B455" s="18" t="s">
        <v>224</v>
      </c>
    </row>
    <row r="456" spans="2:2" x14ac:dyDescent="0.25">
      <c r="B456" s="18"/>
    </row>
    <row r="457" spans="2:2" x14ac:dyDescent="0.25">
      <c r="B457" s="18" t="s">
        <v>4</v>
      </c>
    </row>
    <row r="458" spans="2:2" x14ac:dyDescent="0.25">
      <c r="B458" s="18" t="s">
        <v>225</v>
      </c>
    </row>
    <row r="459" spans="2:2" x14ac:dyDescent="0.25">
      <c r="B459" s="18" t="s">
        <v>226</v>
      </c>
    </row>
    <row r="460" spans="2:2" x14ac:dyDescent="0.25">
      <c r="B460" s="18" t="s">
        <v>227</v>
      </c>
    </row>
    <row r="461" spans="2:2" x14ac:dyDescent="0.25">
      <c r="B461" s="18" t="s">
        <v>228</v>
      </c>
    </row>
    <row r="462" spans="2:2" x14ac:dyDescent="0.25">
      <c r="B462" s="18" t="s">
        <v>229</v>
      </c>
    </row>
    <row r="463" spans="2:2" x14ac:dyDescent="0.25">
      <c r="B463" s="18" t="s">
        <v>230</v>
      </c>
    </row>
    <row r="464" spans="2:2" x14ac:dyDescent="0.25">
      <c r="B464" s="18" t="s">
        <v>231</v>
      </c>
    </row>
    <row r="465" spans="2:2" x14ac:dyDescent="0.25">
      <c r="B465" s="18" t="s">
        <v>232</v>
      </c>
    </row>
    <row r="466" spans="2:2" x14ac:dyDescent="0.25">
      <c r="B466" s="18" t="s">
        <v>233</v>
      </c>
    </row>
    <row r="467" spans="2:2" x14ac:dyDescent="0.25">
      <c r="B467" s="18" t="s">
        <v>234</v>
      </c>
    </row>
    <row r="468" spans="2:2" x14ac:dyDescent="0.25">
      <c r="B468" s="18" t="s">
        <v>235</v>
      </c>
    </row>
    <row r="469" spans="2:2" x14ac:dyDescent="0.25">
      <c r="B469" s="18" t="s">
        <v>236</v>
      </c>
    </row>
    <row r="470" spans="2:2" x14ac:dyDescent="0.25">
      <c r="B470" s="18" t="s">
        <v>237</v>
      </c>
    </row>
    <row r="471" spans="2:2" x14ac:dyDescent="0.25">
      <c r="B471" s="18" t="s">
        <v>238</v>
      </c>
    </row>
    <row r="472" spans="2:2" x14ac:dyDescent="0.25">
      <c r="B472" s="18" t="s">
        <v>239</v>
      </c>
    </row>
    <row r="473" spans="2:2" x14ac:dyDescent="0.25">
      <c r="B473" s="18" t="s">
        <v>240</v>
      </c>
    </row>
    <row r="474" spans="2:2" x14ac:dyDescent="0.25">
      <c r="B474" s="18" t="s">
        <v>241</v>
      </c>
    </row>
    <row r="475" spans="2:2" x14ac:dyDescent="0.25">
      <c r="B475" s="18"/>
    </row>
    <row r="476" spans="2:2" x14ac:dyDescent="0.25">
      <c r="B476" s="18" t="s">
        <v>13</v>
      </c>
    </row>
    <row r="477" spans="2:2" x14ac:dyDescent="0.25">
      <c r="B477" s="18" t="s">
        <v>242</v>
      </c>
    </row>
    <row r="478" spans="2:2" x14ac:dyDescent="0.25">
      <c r="B478" s="18" t="s">
        <v>243</v>
      </c>
    </row>
    <row r="479" spans="2:2" x14ac:dyDescent="0.25">
      <c r="B479" s="18" t="s">
        <v>244</v>
      </c>
    </row>
    <row r="480" spans="2:2" x14ac:dyDescent="0.25">
      <c r="B480" s="18" t="s">
        <v>245</v>
      </c>
    </row>
    <row r="481" spans="2:2" x14ac:dyDescent="0.25">
      <c r="B481" s="18" t="s">
        <v>246</v>
      </c>
    </row>
    <row r="482" spans="2:2" x14ac:dyDescent="0.25">
      <c r="B482" s="18" t="s">
        <v>247</v>
      </c>
    </row>
    <row r="483" spans="2:2" x14ac:dyDescent="0.25">
      <c r="B483" s="18" t="s">
        <v>248</v>
      </c>
    </row>
    <row r="484" spans="2:2" x14ac:dyDescent="0.25">
      <c r="B484" s="18" t="s">
        <v>249</v>
      </c>
    </row>
    <row r="485" spans="2:2" x14ac:dyDescent="0.25">
      <c r="B485" s="18" t="s">
        <v>250</v>
      </c>
    </row>
    <row r="486" spans="2:2" x14ac:dyDescent="0.25">
      <c r="B486" s="18"/>
    </row>
    <row r="487" spans="2:2" x14ac:dyDescent="0.25">
      <c r="B487" s="18" t="s">
        <v>15</v>
      </c>
    </row>
    <row r="488" spans="2:2" x14ac:dyDescent="0.25">
      <c r="B488" s="18" t="s">
        <v>251</v>
      </c>
    </row>
    <row r="489" spans="2:2" x14ac:dyDescent="0.25">
      <c r="B489" s="18" t="s">
        <v>252</v>
      </c>
    </row>
    <row r="490" spans="2:2" x14ac:dyDescent="0.25">
      <c r="B490" s="18" t="s">
        <v>253</v>
      </c>
    </row>
    <row r="491" spans="2:2" x14ac:dyDescent="0.25">
      <c r="B491" s="18" t="s">
        <v>254</v>
      </c>
    </row>
    <row r="492" spans="2:2" x14ac:dyDescent="0.25">
      <c r="B492" s="18" t="s">
        <v>255</v>
      </c>
    </row>
    <row r="493" spans="2:2" x14ac:dyDescent="0.25">
      <c r="B493" s="18" t="s">
        <v>256</v>
      </c>
    </row>
    <row r="494" spans="2:2" x14ac:dyDescent="0.25">
      <c r="B494" s="18" t="s">
        <v>257</v>
      </c>
    </row>
    <row r="495" spans="2:2" x14ac:dyDescent="0.25">
      <c r="B495" s="18" t="s">
        <v>258</v>
      </c>
    </row>
    <row r="496" spans="2:2" x14ac:dyDescent="0.25">
      <c r="B496" s="18"/>
    </row>
    <row r="497" spans="2:2" x14ac:dyDescent="0.25">
      <c r="B497" s="18" t="s">
        <v>6</v>
      </c>
    </row>
    <row r="498" spans="2:2" x14ac:dyDescent="0.25">
      <c r="B498" s="18" t="s">
        <v>259</v>
      </c>
    </row>
    <row r="499" spans="2:2" x14ac:dyDescent="0.25">
      <c r="B499" s="18" t="s">
        <v>260</v>
      </c>
    </row>
    <row r="500" spans="2:2" x14ac:dyDescent="0.25">
      <c r="B500" s="18" t="s">
        <v>261</v>
      </c>
    </row>
    <row r="501" spans="2:2" x14ac:dyDescent="0.25">
      <c r="B501" s="18" t="s">
        <v>262</v>
      </c>
    </row>
    <row r="502" spans="2:2" x14ac:dyDescent="0.25">
      <c r="B502" s="18" t="s">
        <v>263</v>
      </c>
    </row>
    <row r="503" spans="2:2" x14ac:dyDescent="0.25">
      <c r="B503" s="18" t="s">
        <v>264</v>
      </c>
    </row>
    <row r="504" spans="2:2" x14ac:dyDescent="0.25">
      <c r="B504" s="18" t="s">
        <v>265</v>
      </c>
    </row>
    <row r="505" spans="2:2" x14ac:dyDescent="0.25">
      <c r="B505" s="18" t="s">
        <v>266</v>
      </c>
    </row>
    <row r="506" spans="2:2" x14ac:dyDescent="0.25">
      <c r="B506" s="18" t="s">
        <v>267</v>
      </c>
    </row>
    <row r="507" spans="2:2" x14ac:dyDescent="0.25">
      <c r="B507" s="18" t="s">
        <v>268</v>
      </c>
    </row>
    <row r="508" spans="2:2" x14ac:dyDescent="0.25">
      <c r="B508" s="18" t="s">
        <v>269</v>
      </c>
    </row>
    <row r="509" spans="2:2" x14ac:dyDescent="0.25">
      <c r="B509" s="18" t="s">
        <v>270</v>
      </c>
    </row>
    <row r="510" spans="2:2" x14ac:dyDescent="0.25">
      <c r="B510" s="18"/>
    </row>
    <row r="511" spans="2:2" x14ac:dyDescent="0.25">
      <c r="B511" s="18" t="s">
        <v>27</v>
      </c>
    </row>
    <row r="512" spans="2:2" x14ac:dyDescent="0.25">
      <c r="B512" s="18" t="s">
        <v>271</v>
      </c>
    </row>
    <row r="513" spans="2:2" x14ac:dyDescent="0.25">
      <c r="B513" s="18" t="s">
        <v>272</v>
      </c>
    </row>
    <row r="514" spans="2:2" x14ac:dyDescent="0.25">
      <c r="B514" s="18" t="s">
        <v>273</v>
      </c>
    </row>
    <row r="515" spans="2:2" x14ac:dyDescent="0.25">
      <c r="B515" s="18" t="s">
        <v>274</v>
      </c>
    </row>
    <row r="516" spans="2:2" x14ac:dyDescent="0.25">
      <c r="B516" s="18" t="s">
        <v>275</v>
      </c>
    </row>
    <row r="517" spans="2:2" x14ac:dyDescent="0.25">
      <c r="B517" s="18" t="s">
        <v>276</v>
      </c>
    </row>
    <row r="518" spans="2:2" x14ac:dyDescent="0.25">
      <c r="B518" s="18" t="s">
        <v>277</v>
      </c>
    </row>
    <row r="519" spans="2:2" x14ac:dyDescent="0.25">
      <c r="B519" s="18" t="s">
        <v>278</v>
      </c>
    </row>
    <row r="520" spans="2:2" x14ac:dyDescent="0.25">
      <c r="B520" s="18" t="s">
        <v>279</v>
      </c>
    </row>
    <row r="521" spans="2:2" x14ac:dyDescent="0.25">
      <c r="B521" s="18"/>
    </row>
    <row r="522" spans="2:2" x14ac:dyDescent="0.25">
      <c r="B522" s="18" t="s">
        <v>18</v>
      </c>
    </row>
    <row r="523" spans="2:2" x14ac:dyDescent="0.25">
      <c r="B523" s="18" t="s">
        <v>280</v>
      </c>
    </row>
    <row r="524" spans="2:2" x14ac:dyDescent="0.25">
      <c r="B524" s="18" t="s">
        <v>281</v>
      </c>
    </row>
    <row r="525" spans="2:2" x14ac:dyDescent="0.25">
      <c r="B525" s="18" t="s">
        <v>282</v>
      </c>
    </row>
    <row r="526" spans="2:2" x14ac:dyDescent="0.25">
      <c r="B526" s="18" t="s">
        <v>283</v>
      </c>
    </row>
    <row r="527" spans="2:2" x14ac:dyDescent="0.25">
      <c r="B527" s="18" t="s">
        <v>284</v>
      </c>
    </row>
    <row r="528" spans="2:2" x14ac:dyDescent="0.25">
      <c r="B528" s="18" t="s">
        <v>285</v>
      </c>
    </row>
    <row r="529" spans="2:2" x14ac:dyDescent="0.25">
      <c r="B529" s="18" t="s">
        <v>286</v>
      </c>
    </row>
    <row r="530" spans="2:2" x14ac:dyDescent="0.25">
      <c r="B530" s="18" t="s">
        <v>287</v>
      </c>
    </row>
    <row r="531" spans="2:2" x14ac:dyDescent="0.25">
      <c r="B531" s="18"/>
    </row>
    <row r="532" spans="2:2" x14ac:dyDescent="0.25">
      <c r="B532" s="18" t="s">
        <v>14</v>
      </c>
    </row>
    <row r="533" spans="2:2" x14ac:dyDescent="0.25">
      <c r="B533" s="18" t="s">
        <v>288</v>
      </c>
    </row>
    <row r="534" spans="2:2" x14ac:dyDescent="0.25">
      <c r="B534" s="18" t="s">
        <v>289</v>
      </c>
    </row>
    <row r="535" spans="2:2" x14ac:dyDescent="0.25">
      <c r="B535" s="18" t="s">
        <v>290</v>
      </c>
    </row>
    <row r="536" spans="2:2" x14ac:dyDescent="0.25">
      <c r="B536" s="18" t="s">
        <v>291</v>
      </c>
    </row>
    <row r="537" spans="2:2" x14ac:dyDescent="0.25">
      <c r="B537" s="18" t="s">
        <v>292</v>
      </c>
    </row>
    <row r="538" spans="2:2" x14ac:dyDescent="0.25">
      <c r="B538" s="18" t="s">
        <v>293</v>
      </c>
    </row>
    <row r="539" spans="2:2" x14ac:dyDescent="0.25">
      <c r="B539" s="18" t="s">
        <v>294</v>
      </c>
    </row>
    <row r="540" spans="2:2" x14ac:dyDescent="0.25">
      <c r="B540" s="18" t="s">
        <v>295</v>
      </c>
    </row>
    <row r="541" spans="2:2" x14ac:dyDescent="0.25">
      <c r="B541" s="18" t="s">
        <v>296</v>
      </c>
    </row>
    <row r="542" spans="2:2" x14ac:dyDescent="0.25">
      <c r="B542" s="18" t="s">
        <v>297</v>
      </c>
    </row>
    <row r="543" spans="2:2" x14ac:dyDescent="0.25">
      <c r="B543" s="18" t="s">
        <v>298</v>
      </c>
    </row>
    <row r="544" spans="2:2" x14ac:dyDescent="0.25">
      <c r="B544" s="18" t="s">
        <v>299</v>
      </c>
    </row>
    <row r="545" spans="2:2" x14ac:dyDescent="0.25">
      <c r="B545" s="18"/>
    </row>
    <row r="546" spans="2:2" x14ac:dyDescent="0.25">
      <c r="B546" s="18" t="s">
        <v>5</v>
      </c>
    </row>
    <row r="547" spans="2:2" x14ac:dyDescent="0.25">
      <c r="B547" s="18" t="s">
        <v>300</v>
      </c>
    </row>
    <row r="548" spans="2:2" x14ac:dyDescent="0.25">
      <c r="B548" s="18" t="s">
        <v>301</v>
      </c>
    </row>
    <row r="549" spans="2:2" x14ac:dyDescent="0.25">
      <c r="B549" s="18" t="s">
        <v>302</v>
      </c>
    </row>
    <row r="550" spans="2:2" x14ac:dyDescent="0.25">
      <c r="B550" s="18" t="s">
        <v>303</v>
      </c>
    </row>
    <row r="551" spans="2:2" x14ac:dyDescent="0.25">
      <c r="B551" s="18" t="s">
        <v>304</v>
      </c>
    </row>
    <row r="552" spans="2:2" x14ac:dyDescent="0.25">
      <c r="B552" s="18" t="s">
        <v>305</v>
      </c>
    </row>
    <row r="553" spans="2:2" x14ac:dyDescent="0.25">
      <c r="B553" s="18" t="s">
        <v>306</v>
      </c>
    </row>
    <row r="554" spans="2:2" x14ac:dyDescent="0.25">
      <c r="B554" s="18" t="s">
        <v>307</v>
      </c>
    </row>
    <row r="555" spans="2:2" x14ac:dyDescent="0.25">
      <c r="B555" s="18" t="s">
        <v>308</v>
      </c>
    </row>
    <row r="556" spans="2:2" x14ac:dyDescent="0.25">
      <c r="B556" s="18" t="s">
        <v>309</v>
      </c>
    </row>
    <row r="557" spans="2:2" x14ac:dyDescent="0.25">
      <c r="B557" s="18" t="s">
        <v>310</v>
      </c>
    </row>
    <row r="558" spans="2:2" x14ac:dyDescent="0.25">
      <c r="B558" s="18" t="s">
        <v>311</v>
      </c>
    </row>
    <row r="559" spans="2:2" x14ac:dyDescent="0.25">
      <c r="B559" s="18" t="s">
        <v>312</v>
      </c>
    </row>
    <row r="560" spans="2:2" x14ac:dyDescent="0.25">
      <c r="B560" s="18" t="s">
        <v>313</v>
      </c>
    </row>
    <row r="561" spans="2:2" x14ac:dyDescent="0.25">
      <c r="B561" s="18" t="s">
        <v>314</v>
      </c>
    </row>
    <row r="562" spans="2:2" x14ac:dyDescent="0.25">
      <c r="B562" s="18"/>
    </row>
    <row r="563" spans="2:2" x14ac:dyDescent="0.25">
      <c r="B563" s="18" t="s">
        <v>28</v>
      </c>
    </row>
    <row r="564" spans="2:2" x14ac:dyDescent="0.25">
      <c r="B564" s="18" t="s">
        <v>315</v>
      </c>
    </row>
    <row r="565" spans="2:2" x14ac:dyDescent="0.25">
      <c r="B565" s="18" t="s">
        <v>316</v>
      </c>
    </row>
    <row r="566" spans="2:2" x14ac:dyDescent="0.25">
      <c r="B566" s="18" t="s">
        <v>317</v>
      </c>
    </row>
    <row r="567" spans="2:2" x14ac:dyDescent="0.25">
      <c r="B567" s="18" t="s">
        <v>318</v>
      </c>
    </row>
    <row r="568" spans="2:2" x14ac:dyDescent="0.25">
      <c r="B568" s="18" t="s">
        <v>319</v>
      </c>
    </row>
    <row r="569" spans="2:2" x14ac:dyDescent="0.25">
      <c r="B569" s="18" t="s">
        <v>320</v>
      </c>
    </row>
    <row r="570" spans="2:2" x14ac:dyDescent="0.25">
      <c r="B570" s="18" t="s">
        <v>321</v>
      </c>
    </row>
    <row r="571" spans="2:2" x14ac:dyDescent="0.25">
      <c r="B571" s="18" t="s">
        <v>322</v>
      </c>
    </row>
    <row r="572" spans="2:2" x14ac:dyDescent="0.25">
      <c r="B572" s="18"/>
    </row>
    <row r="573" spans="2:2" x14ac:dyDescent="0.25">
      <c r="B573" s="18" t="s">
        <v>23</v>
      </c>
    </row>
    <row r="574" spans="2:2" x14ac:dyDescent="0.25">
      <c r="B574" s="18" t="s">
        <v>323</v>
      </c>
    </row>
    <row r="575" spans="2:2" x14ac:dyDescent="0.25">
      <c r="B575" s="18" t="s">
        <v>324</v>
      </c>
    </row>
    <row r="576" spans="2:2" x14ac:dyDescent="0.25">
      <c r="B576" s="18" t="s">
        <v>325</v>
      </c>
    </row>
    <row r="577" spans="2:2" x14ac:dyDescent="0.25">
      <c r="B577" s="18" t="s">
        <v>326</v>
      </c>
    </row>
    <row r="578" spans="2:2" x14ac:dyDescent="0.25">
      <c r="B578" s="18" t="s">
        <v>327</v>
      </c>
    </row>
    <row r="579" spans="2:2" x14ac:dyDescent="0.25">
      <c r="B579" s="18" t="s">
        <v>328</v>
      </c>
    </row>
    <row r="580" spans="2:2" x14ac:dyDescent="0.25">
      <c r="B580" s="18" t="s">
        <v>329</v>
      </c>
    </row>
    <row r="581" spans="2:2" x14ac:dyDescent="0.25">
      <c r="B581" s="18" t="s">
        <v>330</v>
      </c>
    </row>
    <row r="582" spans="2:2" x14ac:dyDescent="0.25">
      <c r="B582" s="18"/>
    </row>
    <row r="583" spans="2:2" x14ac:dyDescent="0.25">
      <c r="B583" s="18" t="s">
        <v>1</v>
      </c>
    </row>
    <row r="584" spans="2:2" x14ac:dyDescent="0.25">
      <c r="B584" s="18" t="s">
        <v>331</v>
      </c>
    </row>
    <row r="585" spans="2:2" x14ac:dyDescent="0.25">
      <c r="B585" s="18" t="s">
        <v>332</v>
      </c>
    </row>
    <row r="586" spans="2:2" x14ac:dyDescent="0.25">
      <c r="B586" s="18" t="s">
        <v>333</v>
      </c>
    </row>
    <row r="587" spans="2:2" x14ac:dyDescent="0.25">
      <c r="B587" s="18" t="s">
        <v>334</v>
      </c>
    </row>
    <row r="588" spans="2:2" x14ac:dyDescent="0.25">
      <c r="B588" s="18" t="s">
        <v>335</v>
      </c>
    </row>
    <row r="589" spans="2:2" x14ac:dyDescent="0.25">
      <c r="B589" s="18" t="s">
        <v>336</v>
      </c>
    </row>
    <row r="590" spans="2:2" x14ac:dyDescent="0.25">
      <c r="B590" s="18" t="s">
        <v>337</v>
      </c>
    </row>
    <row r="591" spans="2:2" x14ac:dyDescent="0.25">
      <c r="B591" s="18" t="s">
        <v>338</v>
      </c>
    </row>
    <row r="592" spans="2:2" x14ac:dyDescent="0.25">
      <c r="B592" s="18" t="s">
        <v>339</v>
      </c>
    </row>
    <row r="593" spans="2:2" x14ac:dyDescent="0.25">
      <c r="B593" s="18"/>
    </row>
    <row r="594" spans="2:2" x14ac:dyDescent="0.25">
      <c r="B594" s="18" t="s">
        <v>19</v>
      </c>
    </row>
    <row r="595" spans="2:2" x14ac:dyDescent="0.25">
      <c r="B595" s="18" t="s">
        <v>340</v>
      </c>
    </row>
    <row r="596" spans="2:2" x14ac:dyDescent="0.25">
      <c r="B596" s="18" t="s">
        <v>341</v>
      </c>
    </row>
    <row r="597" spans="2:2" x14ac:dyDescent="0.25">
      <c r="B597" s="18" t="s">
        <v>342</v>
      </c>
    </row>
    <row r="598" spans="2:2" x14ac:dyDescent="0.25">
      <c r="B598" s="18" t="s">
        <v>343</v>
      </c>
    </row>
    <row r="599" spans="2:2" x14ac:dyDescent="0.25">
      <c r="B599" s="18" t="s">
        <v>344</v>
      </c>
    </row>
    <row r="600" spans="2:2" x14ac:dyDescent="0.25">
      <c r="B600" s="18" t="s">
        <v>345</v>
      </c>
    </row>
    <row r="601" spans="2:2" x14ac:dyDescent="0.25">
      <c r="B601" s="18" t="s">
        <v>346</v>
      </c>
    </row>
    <row r="602" spans="2:2" x14ac:dyDescent="0.25">
      <c r="B602" s="18" t="s">
        <v>347</v>
      </c>
    </row>
    <row r="603" spans="2:2" x14ac:dyDescent="0.25">
      <c r="B603" s="18" t="s">
        <v>348</v>
      </c>
    </row>
    <row r="604" spans="2:2" x14ac:dyDescent="0.25">
      <c r="B604" s="18" t="s">
        <v>349</v>
      </c>
    </row>
    <row r="605" spans="2:2" x14ac:dyDescent="0.25">
      <c r="B605" s="18" t="s">
        <v>350</v>
      </c>
    </row>
  </sheetData>
  <sheetProtection algorithmName="SHA-512" hashValue="fjqHVbRK2IwcvDT4LJBi6OhGOpaO8yzft6c0mRw5eTqJ1bxKOErf3qooiBnm2X37bYrlvfcVDHH9NHh8cJXHGA==" saltValue="VJ9yU1jyp9IGefWw+UU+XA==" spinCount="100000" sheet="1" objects="1" scenarios="1"/>
  <phoneticPr fontId="2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E34"/>
  <sheetViews>
    <sheetView zoomScale="95" zoomScaleNormal="95" workbookViewId="0">
      <selection activeCell="A27" sqref="A27"/>
    </sheetView>
  </sheetViews>
  <sheetFormatPr defaultRowHeight="13.2" x14ac:dyDescent="0.25"/>
  <cols>
    <col min="1" max="1" width="35.6640625" customWidth="1"/>
    <col min="2" max="4" width="35.6640625" style="26" customWidth="1"/>
  </cols>
  <sheetData>
    <row r="1" spans="1:4" ht="19.2" customHeight="1" x14ac:dyDescent="0.25">
      <c r="A1" s="96" t="s">
        <v>75</v>
      </c>
      <c r="B1" s="97"/>
      <c r="C1" s="100" t="s">
        <v>56</v>
      </c>
      <c r="D1" s="101"/>
    </row>
    <row r="2" spans="1:4" ht="19.2" customHeight="1" x14ac:dyDescent="0.25">
      <c r="A2" s="98"/>
      <c r="B2" s="99"/>
      <c r="C2" s="7" t="s">
        <v>55</v>
      </c>
      <c r="D2" s="4" t="s">
        <v>57</v>
      </c>
    </row>
    <row r="3" spans="1:4" x14ac:dyDescent="0.25">
      <c r="A3" s="92" t="s">
        <v>77</v>
      </c>
      <c r="B3" s="10" t="s">
        <v>31</v>
      </c>
      <c r="C3" s="10" t="s">
        <v>32</v>
      </c>
      <c r="D3" s="10" t="s">
        <v>33</v>
      </c>
    </row>
    <row r="4" spans="1:4" x14ac:dyDescent="0.25">
      <c r="A4" s="93"/>
      <c r="B4" s="10" t="s">
        <v>34</v>
      </c>
      <c r="C4" s="10" t="s">
        <v>35</v>
      </c>
      <c r="D4" s="10" t="s">
        <v>36</v>
      </c>
    </row>
    <row r="5" spans="1:4" x14ac:dyDescent="0.25">
      <c r="A5" s="93"/>
      <c r="B5" s="10" t="s">
        <v>37</v>
      </c>
      <c r="C5" s="10" t="s">
        <v>38</v>
      </c>
      <c r="D5" s="10" t="s">
        <v>30</v>
      </c>
    </row>
    <row r="6" spans="1:4" x14ac:dyDescent="0.25">
      <c r="A6" s="94" t="s">
        <v>78</v>
      </c>
      <c r="B6" s="27" t="s">
        <v>58</v>
      </c>
      <c r="C6" s="27" t="s">
        <v>67</v>
      </c>
      <c r="D6" s="102" t="s">
        <v>71</v>
      </c>
    </row>
    <row r="7" spans="1:4" x14ac:dyDescent="0.25">
      <c r="A7" s="95"/>
      <c r="B7" s="27" t="s">
        <v>59</v>
      </c>
      <c r="C7" s="27" t="s">
        <v>68</v>
      </c>
      <c r="D7" s="103"/>
    </row>
    <row r="8" spans="1:4" x14ac:dyDescent="0.25">
      <c r="A8" s="95"/>
      <c r="B8" s="27" t="s">
        <v>60</v>
      </c>
      <c r="C8" s="27" t="s">
        <v>67</v>
      </c>
      <c r="D8" s="102" t="s">
        <v>72</v>
      </c>
    </row>
    <row r="9" spans="1:4" x14ac:dyDescent="0.25">
      <c r="A9" s="95"/>
      <c r="B9" s="27" t="s">
        <v>61</v>
      </c>
      <c r="C9" s="27" t="s">
        <v>68</v>
      </c>
      <c r="D9" s="103"/>
    </row>
    <row r="10" spans="1:4" x14ac:dyDescent="0.25">
      <c r="A10" s="95"/>
      <c r="B10" s="27" t="s">
        <v>62</v>
      </c>
      <c r="C10" s="27" t="s">
        <v>39</v>
      </c>
      <c r="D10" s="102" t="s">
        <v>73</v>
      </c>
    </row>
    <row r="11" spans="1:4" x14ac:dyDescent="0.25">
      <c r="A11" s="95"/>
      <c r="B11" s="27" t="s">
        <v>63</v>
      </c>
      <c r="C11" s="27" t="s">
        <v>40</v>
      </c>
      <c r="D11" s="103"/>
    </row>
    <row r="12" spans="1:4" x14ac:dyDescent="0.25">
      <c r="A12" s="95"/>
      <c r="B12" s="27" t="s">
        <v>64</v>
      </c>
      <c r="C12" s="27" t="s">
        <v>39</v>
      </c>
      <c r="D12" s="102" t="s">
        <v>74</v>
      </c>
    </row>
    <row r="13" spans="1:4" x14ac:dyDescent="0.25">
      <c r="A13" s="95"/>
      <c r="B13" s="27" t="s">
        <v>65</v>
      </c>
      <c r="C13" s="27" t="s">
        <v>40</v>
      </c>
      <c r="D13" s="103"/>
    </row>
    <row r="14" spans="1:4" x14ac:dyDescent="0.25">
      <c r="A14" s="92" t="s">
        <v>79</v>
      </c>
      <c r="B14" s="10" t="s">
        <v>66</v>
      </c>
      <c r="C14" s="90" t="s">
        <v>41</v>
      </c>
      <c r="D14" s="90" t="s">
        <v>42</v>
      </c>
    </row>
    <row r="15" spans="1:4" x14ac:dyDescent="0.25">
      <c r="A15" s="93"/>
      <c r="B15" s="10" t="s">
        <v>76</v>
      </c>
      <c r="C15" s="91"/>
      <c r="D15" s="91"/>
    </row>
    <row r="16" spans="1:4" x14ac:dyDescent="0.25">
      <c r="A16" s="93"/>
      <c r="B16" s="10" t="s">
        <v>43</v>
      </c>
      <c r="C16" s="10" t="s">
        <v>44</v>
      </c>
      <c r="D16" s="10" t="s">
        <v>45</v>
      </c>
    </row>
    <row r="17" spans="1:5" x14ac:dyDescent="0.25">
      <c r="A17" s="93"/>
      <c r="B17" s="10" t="s">
        <v>46</v>
      </c>
      <c r="C17" s="10" t="s">
        <v>47</v>
      </c>
      <c r="D17" s="10" t="s">
        <v>48</v>
      </c>
    </row>
    <row r="18" spans="1:5" x14ac:dyDescent="0.25">
      <c r="A18" s="93"/>
      <c r="B18" s="10" t="s">
        <v>49</v>
      </c>
      <c r="C18" s="10" t="s">
        <v>50</v>
      </c>
      <c r="D18" s="10" t="s">
        <v>51</v>
      </c>
    </row>
    <row r="19" spans="1:5" x14ac:dyDescent="0.25">
      <c r="A19" s="93"/>
      <c r="B19" s="10" t="s">
        <v>52</v>
      </c>
      <c r="C19" s="10" t="s">
        <v>53</v>
      </c>
      <c r="D19" s="10" t="s">
        <v>54</v>
      </c>
    </row>
    <row r="21" spans="1:5" x14ac:dyDescent="0.25">
      <c r="C21" s="18" t="s">
        <v>32</v>
      </c>
      <c r="D21" s="18" t="s">
        <v>69</v>
      </c>
    </row>
    <row r="22" spans="1:5" x14ac:dyDescent="0.25">
      <c r="C22" s="18" t="s">
        <v>35</v>
      </c>
      <c r="D22" s="18" t="s">
        <v>70</v>
      </c>
      <c r="E22" s="28"/>
    </row>
    <row r="23" spans="1:5" x14ac:dyDescent="0.25">
      <c r="A23" s="28" t="s">
        <v>511</v>
      </c>
      <c r="C23" s="18" t="s">
        <v>38</v>
      </c>
      <c r="D23" s="18" t="s">
        <v>71</v>
      </c>
    </row>
    <row r="24" spans="1:5" x14ac:dyDescent="0.25">
      <c r="A24" s="28" t="s">
        <v>352</v>
      </c>
      <c r="C24" s="18" t="s">
        <v>67</v>
      </c>
      <c r="D24" s="18" t="s">
        <v>73</v>
      </c>
    </row>
    <row r="25" spans="1:5" x14ac:dyDescent="0.25">
      <c r="A25" s="28" t="s">
        <v>354</v>
      </c>
      <c r="C25" s="18" t="s">
        <v>68</v>
      </c>
      <c r="D25" s="18" t="s">
        <v>36</v>
      </c>
    </row>
    <row r="26" spans="1:5" x14ac:dyDescent="0.25">
      <c r="A26" s="28" t="s">
        <v>518</v>
      </c>
      <c r="C26" s="18" t="s">
        <v>39</v>
      </c>
      <c r="D26" s="18" t="s">
        <v>30</v>
      </c>
    </row>
    <row r="27" spans="1:5" x14ac:dyDescent="0.25">
      <c r="C27" s="18" t="s">
        <v>40</v>
      </c>
      <c r="D27" s="18" t="s">
        <v>72</v>
      </c>
    </row>
    <row r="28" spans="1:5" x14ac:dyDescent="0.25">
      <c r="C28" s="18" t="s">
        <v>41</v>
      </c>
      <c r="D28" s="18" t="s">
        <v>74</v>
      </c>
    </row>
    <row r="29" spans="1:5" x14ac:dyDescent="0.25">
      <c r="C29" s="18" t="s">
        <v>44</v>
      </c>
      <c r="D29" s="18" t="s">
        <v>80</v>
      </c>
    </row>
    <row r="30" spans="1:5" x14ac:dyDescent="0.25">
      <c r="C30" s="18" t="s">
        <v>47</v>
      </c>
      <c r="D30" s="18" t="s">
        <v>48</v>
      </c>
    </row>
    <row r="31" spans="1:5" x14ac:dyDescent="0.25">
      <c r="C31" s="18" t="s">
        <v>50</v>
      </c>
      <c r="D31" s="18" t="s">
        <v>81</v>
      </c>
    </row>
    <row r="32" spans="1:5" x14ac:dyDescent="0.25">
      <c r="C32" s="18" t="s">
        <v>53</v>
      </c>
      <c r="D32" s="18" t="s">
        <v>45</v>
      </c>
    </row>
    <row r="33" spans="3:4" x14ac:dyDescent="0.25">
      <c r="C33" s="18"/>
      <c r="D33" s="18" t="s">
        <v>82</v>
      </c>
    </row>
    <row r="34" spans="3:4" x14ac:dyDescent="0.25">
      <c r="C34" s="18"/>
      <c r="D34" s="18" t="s">
        <v>83</v>
      </c>
    </row>
  </sheetData>
  <sheetProtection algorithmName="SHA-512" hashValue="j7GUm1GHw+p+igREZeuN5YKrQxMH302TzloNR+DZbglF7zbL7f2+89MqA++VXr/Vh2PGoWTRYG7s50GgK4CdTA==" saltValue="+E54ceSCxr3YVy2gMjImig==" spinCount="100000" sheet="1" objects="1" scenarios="1"/>
  <mergeCells count="11">
    <mergeCell ref="A1:B2"/>
    <mergeCell ref="C1:D1"/>
    <mergeCell ref="D12:D13"/>
    <mergeCell ref="D10:D11"/>
    <mergeCell ref="D8:D9"/>
    <mergeCell ref="D6:D7"/>
    <mergeCell ref="D14:D15"/>
    <mergeCell ref="C14:C15"/>
    <mergeCell ref="A3:A5"/>
    <mergeCell ref="A6:A13"/>
    <mergeCell ref="A14:A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A1:F9"/>
  <sheetViews>
    <sheetView zoomScale="95" zoomScaleNormal="95" workbookViewId="0">
      <selection activeCell="E8" sqref="E8"/>
    </sheetView>
  </sheetViews>
  <sheetFormatPr defaultColWidth="9.109375" defaultRowHeight="13.2" x14ac:dyDescent="0.25"/>
  <cols>
    <col min="1" max="5" width="35.6640625" style="5" customWidth="1"/>
    <col min="6" max="16384" width="9.109375" style="5"/>
  </cols>
  <sheetData>
    <row r="1" spans="1:6" ht="38.25" customHeight="1" x14ac:dyDescent="0.25">
      <c r="A1" s="69" t="s">
        <v>0</v>
      </c>
      <c r="B1" s="70" t="s">
        <v>360</v>
      </c>
      <c r="C1" s="69" t="s">
        <v>361</v>
      </c>
      <c r="D1" s="70" t="s">
        <v>362</v>
      </c>
      <c r="E1" s="71" t="s">
        <v>363</v>
      </c>
    </row>
    <row r="2" spans="1:6" ht="12.75" customHeight="1" x14ac:dyDescent="0.25">
      <c r="A2" s="72" t="str">
        <f>Input!F14</f>
        <v>GP</v>
      </c>
      <c r="B2" s="73">
        <f>B8/145.03773800722/0.0254</f>
        <v>81.434141102361153</v>
      </c>
      <c r="C2" s="72">
        <f>ROUND(Input!F16,0)</f>
        <v>15</v>
      </c>
      <c r="D2" s="73">
        <f>D8/0.14503773800722</f>
        <v>5860.5436879999252</v>
      </c>
      <c r="E2" s="74">
        <f>IF(E8/145.03773800722/0.0254&gt;500,500,IF(E8/145.03773800722/0.0254&lt;100,100,E8/145.03773800722/0.0254))</f>
        <v>500</v>
      </c>
    </row>
    <row r="3" spans="1:6" x14ac:dyDescent="0.25">
      <c r="A3" s="75"/>
      <c r="B3" s="75"/>
      <c r="C3" s="75"/>
      <c r="D3" s="75"/>
      <c r="E3" s="75"/>
      <c r="F3" s="32"/>
    </row>
    <row r="4" spans="1:6" x14ac:dyDescent="0.25">
      <c r="A4" s="75"/>
      <c r="B4" s="75"/>
      <c r="C4" s="75"/>
      <c r="D4" s="75"/>
      <c r="E4" s="75"/>
    </row>
    <row r="5" spans="1:6" x14ac:dyDescent="0.25">
      <c r="A5" s="75"/>
      <c r="B5" s="75"/>
      <c r="C5" s="75"/>
      <c r="D5" s="75"/>
      <c r="E5" s="75"/>
    </row>
    <row r="6" spans="1:6" x14ac:dyDescent="0.25">
      <c r="A6" s="76" t="s">
        <v>368</v>
      </c>
      <c r="B6" s="75"/>
      <c r="C6" s="75"/>
      <c r="D6" s="75"/>
      <c r="E6" s="75"/>
    </row>
    <row r="7" spans="1:6" ht="38.25" customHeight="1" x14ac:dyDescent="0.25">
      <c r="A7" s="77" t="s">
        <v>0</v>
      </c>
      <c r="B7" s="78" t="s">
        <v>364</v>
      </c>
      <c r="C7" s="77" t="s">
        <v>365</v>
      </c>
      <c r="D7" s="78" t="s">
        <v>366</v>
      </c>
      <c r="E7" s="79" t="s">
        <v>367</v>
      </c>
    </row>
    <row r="8" spans="1:6" ht="12.75" customHeight="1" x14ac:dyDescent="0.25">
      <c r="A8" s="72" t="str">
        <f>Input!F14</f>
        <v>GP</v>
      </c>
      <c r="B8" s="72">
        <f>IF(OR(A8="A-1-a",A8="A-2-4",A8="A-2-5",A8="GW",A8="GP",A8="GM",A8="SM"),300,IF(OR(A8="A-1-b",A8="SW"),200,IF(OR(A8="A-3",A8="A-2-6",A8="A-2-7",A8="SP",A8="GC",A8="SC"),150,IF(OR(A8="A-7-6",A8="CH",A8="OH"),50,IF(OR(A8="A-4",A8="A-5",A8="A-6",A8="A-7-5",A8="ML",A8="OL",A8="MH",A8="CL"),25)))))</f>
        <v>300</v>
      </c>
      <c r="C8" s="72">
        <f>ROUND(Input!F16/2.54,0)</f>
        <v>6</v>
      </c>
      <c r="D8" s="72">
        <f>IF(D9&lt;=100,ROUND(D9,-1),IF(AND(D9&gt;100,D9&lt;1000,MOD(D9,50)&lt;25),D9-MOD(D9,50),IF(AND(D9&gt;100,D9&lt;1000,MOD(D9,50)&gt;=25),D9+50-MOD(D9,50),IF(D9&gt;=1000,ROUND(D9,-2)))))</f>
        <v>850</v>
      </c>
      <c r="E8" s="74">
        <f>538.756*C8+1.05349*D8+0.81371*B8-2441.9</f>
        <v>1930.2155000000007</v>
      </c>
    </row>
    <row r="9" spans="1:6" x14ac:dyDescent="0.25">
      <c r="D9" s="33">
        <f>Input!F17*0.14503773800722</f>
        <v>870.22642804331997</v>
      </c>
    </row>
  </sheetData>
  <sheetProtection algorithmName="SHA-512" hashValue="T1As4tcbmJEMV4RR2/L/VyN4FSPeL5B+bBbiIV2ny9uOsOIVufS9874P3xp4VY6oEmtbKtVmy2Trwl954Dd+sw==" saltValue="7k6kcheZPOyvgYHdqD405Q==" spinCount="100000" sheet="1" objects="1" scenarios="1"/>
  <phoneticPr fontId="2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6DC6-6FBC-4F6B-95A0-DB035D71AFE1}">
  <sheetPr codeName="Sheet1">
    <tabColor theme="3" tint="0.59999389629810485"/>
  </sheetPr>
  <dimension ref="A1:G82"/>
  <sheetViews>
    <sheetView workbookViewId="0">
      <selection activeCell="C34" sqref="C34"/>
    </sheetView>
  </sheetViews>
  <sheetFormatPr defaultColWidth="9.109375" defaultRowHeight="13.2" x14ac:dyDescent="0.25"/>
  <cols>
    <col min="1" max="4" width="35.6640625" style="45" customWidth="1"/>
    <col min="5" max="7" width="35.6640625" style="45" hidden="1" customWidth="1"/>
  </cols>
  <sheetData>
    <row r="1" spans="1:7" s="5" customFormat="1" ht="38.25" customHeight="1" x14ac:dyDescent="0.25">
      <c r="A1" s="4" t="s">
        <v>369</v>
      </c>
      <c r="B1" s="4" t="s">
        <v>372</v>
      </c>
      <c r="C1" s="4" t="s">
        <v>501</v>
      </c>
      <c r="D1" s="4" t="s">
        <v>371</v>
      </c>
      <c r="E1" s="4" t="s">
        <v>499</v>
      </c>
      <c r="F1" s="4" t="s">
        <v>503</v>
      </c>
      <c r="G1" s="4" t="s">
        <v>502</v>
      </c>
    </row>
    <row r="2" spans="1:7" x14ac:dyDescent="0.25">
      <c r="A2" s="46">
        <v>3</v>
      </c>
      <c r="B2" s="46">
        <v>30</v>
      </c>
      <c r="C2" s="46">
        <v>100</v>
      </c>
      <c r="D2" s="46">
        <v>10</v>
      </c>
      <c r="E2" s="46" t="str">
        <f>CONCATENATE(A2,B2,C2,D2)</f>
        <v>33010010</v>
      </c>
      <c r="F2" s="46">
        <v>54</v>
      </c>
      <c r="G2" s="46">
        <f>ROUND(Stress!$B$5/(('S-Table'!$F2*1000000/48)/225000)^0.25,2)</f>
        <v>3.34</v>
      </c>
    </row>
    <row r="3" spans="1:7" x14ac:dyDescent="0.25">
      <c r="A3" s="46">
        <v>2</v>
      </c>
      <c r="B3" s="46">
        <v>30</v>
      </c>
      <c r="C3" s="46">
        <v>100</v>
      </c>
      <c r="D3" s="46">
        <v>10</v>
      </c>
      <c r="E3" s="46" t="str">
        <f t="shared" ref="E3:E66" si="0">CONCATENATE(A3,B3,C3,D3)</f>
        <v>23010010</v>
      </c>
      <c r="F3" s="46">
        <v>58</v>
      </c>
      <c r="G3" s="46">
        <f>ROUND(Stress!$B$5/(('S-Table'!$F3*1000000/48)/225000)^0.25,2)</f>
        <v>3.28</v>
      </c>
    </row>
    <row r="4" spans="1:7" x14ac:dyDescent="0.25">
      <c r="A4" s="46">
        <v>1</v>
      </c>
      <c r="B4" s="46">
        <v>30</v>
      </c>
      <c r="C4" s="46">
        <v>100</v>
      </c>
      <c r="D4" s="46">
        <v>10</v>
      </c>
      <c r="E4" s="46" t="str">
        <f t="shared" si="0"/>
        <v>13010010</v>
      </c>
      <c r="F4" s="46">
        <v>60</v>
      </c>
      <c r="G4" s="46">
        <f>ROUND(Stress!$B$5/(('S-Table'!$F4*1000000/48)/225000)^0.25,2)</f>
        <v>3.26</v>
      </c>
    </row>
    <row r="5" spans="1:7" x14ac:dyDescent="0.25">
      <c r="A5" s="46">
        <v>3</v>
      </c>
      <c r="B5" s="46">
        <v>30</v>
      </c>
      <c r="C5" s="46">
        <v>100</v>
      </c>
      <c r="D5" s="46">
        <v>15</v>
      </c>
      <c r="E5" s="46" t="str">
        <f t="shared" si="0"/>
        <v>33010015</v>
      </c>
      <c r="F5" s="46">
        <v>72</v>
      </c>
      <c r="G5" s="46">
        <f>ROUND(Stress!$B$5/(('S-Table'!$F5*1000000/48)/225000)^0.25,2)</f>
        <v>3.11</v>
      </c>
    </row>
    <row r="6" spans="1:7" x14ac:dyDescent="0.25">
      <c r="A6" s="46">
        <v>2</v>
      </c>
      <c r="B6" s="46">
        <v>30</v>
      </c>
      <c r="C6" s="46">
        <v>100</v>
      </c>
      <c r="D6" s="46">
        <v>15</v>
      </c>
      <c r="E6" s="46" t="str">
        <f t="shared" si="0"/>
        <v>23010015</v>
      </c>
      <c r="F6" s="46">
        <v>78</v>
      </c>
      <c r="G6" s="46">
        <f>ROUND(Stress!$B$5/(('S-Table'!$F6*1000000/48)/225000)^0.25,2)</f>
        <v>3.05</v>
      </c>
    </row>
    <row r="7" spans="1:7" x14ac:dyDescent="0.25">
      <c r="A7" s="46">
        <v>1</v>
      </c>
      <c r="B7" s="46">
        <v>30</v>
      </c>
      <c r="C7" s="46">
        <v>100</v>
      </c>
      <c r="D7" s="46">
        <v>15</v>
      </c>
      <c r="E7" s="46" t="str">
        <f t="shared" si="0"/>
        <v>13010015</v>
      </c>
      <c r="F7" s="46">
        <v>82</v>
      </c>
      <c r="G7" s="46">
        <f>ROUND(Stress!$B$5/(('S-Table'!$F7*1000000/48)/225000)^0.25,2)</f>
        <v>3.01</v>
      </c>
    </row>
    <row r="8" spans="1:7" x14ac:dyDescent="0.25">
      <c r="A8" s="46">
        <v>3</v>
      </c>
      <c r="B8" s="46">
        <v>30</v>
      </c>
      <c r="C8" s="46">
        <v>100</v>
      </c>
      <c r="D8" s="46">
        <v>20</v>
      </c>
      <c r="E8" s="46" t="str">
        <f t="shared" si="0"/>
        <v>33010020</v>
      </c>
      <c r="F8" s="46">
        <v>182</v>
      </c>
      <c r="G8" s="46">
        <f>ROUND(Stress!$B$5/(('S-Table'!$F8*1000000/48)/225000)^0.25,2)</f>
        <v>2.4700000000000002</v>
      </c>
    </row>
    <row r="9" spans="1:7" x14ac:dyDescent="0.25">
      <c r="A9" s="46">
        <v>2</v>
      </c>
      <c r="B9" s="46">
        <v>30</v>
      </c>
      <c r="C9" s="46">
        <v>100</v>
      </c>
      <c r="D9" s="46">
        <v>20</v>
      </c>
      <c r="E9" s="46" t="str">
        <f t="shared" si="0"/>
        <v>23010020</v>
      </c>
      <c r="F9" s="46">
        <v>197</v>
      </c>
      <c r="G9" s="46">
        <f>ROUND(Stress!$B$5/(('S-Table'!$F9*1000000/48)/225000)^0.25,2)</f>
        <v>2.42</v>
      </c>
    </row>
    <row r="10" spans="1:7" x14ac:dyDescent="0.25">
      <c r="A10" s="46">
        <v>1</v>
      </c>
      <c r="B10" s="46">
        <v>30</v>
      </c>
      <c r="C10" s="46">
        <v>100</v>
      </c>
      <c r="D10" s="46">
        <v>20</v>
      </c>
      <c r="E10" s="46" t="str">
        <f t="shared" si="0"/>
        <v>13010020</v>
      </c>
      <c r="F10" s="46">
        <v>207</v>
      </c>
      <c r="G10" s="46">
        <f>ROUND(Stress!$B$5/(('S-Table'!$F10*1000000/48)/225000)^0.25,2)</f>
        <v>2.39</v>
      </c>
    </row>
    <row r="11" spans="1:7" x14ac:dyDescent="0.25">
      <c r="A11" s="46">
        <v>3</v>
      </c>
      <c r="B11" s="46">
        <v>30</v>
      </c>
      <c r="C11" s="46">
        <v>500</v>
      </c>
      <c r="D11" s="46">
        <v>10</v>
      </c>
      <c r="E11" s="46" t="str">
        <f t="shared" si="0"/>
        <v>33050010</v>
      </c>
      <c r="F11" s="46">
        <v>56</v>
      </c>
      <c r="G11" s="46">
        <f>ROUND(Stress!$B$5/(('S-Table'!$F11*1000000/48)/225000)^0.25,2)</f>
        <v>3.31</v>
      </c>
    </row>
    <row r="12" spans="1:7" x14ac:dyDescent="0.25">
      <c r="A12" s="46">
        <v>2</v>
      </c>
      <c r="B12" s="46">
        <v>30</v>
      </c>
      <c r="C12" s="46">
        <v>500</v>
      </c>
      <c r="D12" s="46">
        <v>10</v>
      </c>
      <c r="E12" s="46" t="str">
        <f t="shared" si="0"/>
        <v>23050010</v>
      </c>
      <c r="F12" s="46">
        <v>60</v>
      </c>
      <c r="G12" s="46">
        <f>ROUND(Stress!$B$5/(('S-Table'!$F12*1000000/48)/225000)^0.25,2)</f>
        <v>3.26</v>
      </c>
    </row>
    <row r="13" spans="1:7" x14ac:dyDescent="0.25">
      <c r="A13" s="46">
        <v>1</v>
      </c>
      <c r="B13" s="46">
        <v>30</v>
      </c>
      <c r="C13" s="46">
        <v>500</v>
      </c>
      <c r="D13" s="46">
        <v>10</v>
      </c>
      <c r="E13" s="46" t="str">
        <f t="shared" si="0"/>
        <v>13050010</v>
      </c>
      <c r="F13" s="46">
        <v>62</v>
      </c>
      <c r="G13" s="46">
        <f>ROUND(Stress!$B$5/(('S-Table'!$F13*1000000/48)/225000)^0.25,2)</f>
        <v>3.23</v>
      </c>
    </row>
    <row r="14" spans="1:7" x14ac:dyDescent="0.25">
      <c r="A14" s="46">
        <v>3</v>
      </c>
      <c r="B14" s="46">
        <v>30</v>
      </c>
      <c r="C14" s="46">
        <v>500</v>
      </c>
      <c r="D14" s="46">
        <v>15</v>
      </c>
      <c r="E14" s="46" t="str">
        <f t="shared" si="0"/>
        <v>33050015</v>
      </c>
      <c r="F14" s="46">
        <v>74</v>
      </c>
      <c r="G14" s="46">
        <f>ROUND(Stress!$B$5/(('S-Table'!$F14*1000000/48)/225000)^0.25,2)</f>
        <v>3.09</v>
      </c>
    </row>
    <row r="15" spans="1:7" x14ac:dyDescent="0.25">
      <c r="A15" s="46">
        <v>2</v>
      </c>
      <c r="B15" s="46">
        <v>30</v>
      </c>
      <c r="C15" s="46">
        <v>500</v>
      </c>
      <c r="D15" s="46">
        <v>15</v>
      </c>
      <c r="E15" s="46" t="str">
        <f t="shared" si="0"/>
        <v>23050015</v>
      </c>
      <c r="F15" s="46">
        <v>80</v>
      </c>
      <c r="G15" s="46">
        <f>ROUND(Stress!$B$5/(('S-Table'!$F15*1000000/48)/225000)^0.25,2)</f>
        <v>3.03</v>
      </c>
    </row>
    <row r="16" spans="1:7" x14ac:dyDescent="0.25">
      <c r="A16" s="46">
        <v>1</v>
      </c>
      <c r="B16" s="46">
        <v>30</v>
      </c>
      <c r="C16" s="46">
        <v>500</v>
      </c>
      <c r="D16" s="46">
        <v>15</v>
      </c>
      <c r="E16" s="46" t="str">
        <f t="shared" si="0"/>
        <v>13050015</v>
      </c>
      <c r="F16" s="46">
        <v>84</v>
      </c>
      <c r="G16" s="46">
        <f>ROUND(Stress!$B$5/(('S-Table'!$F16*1000000/48)/225000)^0.25,2)</f>
        <v>2.99</v>
      </c>
    </row>
    <row r="17" spans="1:7" x14ac:dyDescent="0.25">
      <c r="A17" s="46">
        <v>3</v>
      </c>
      <c r="B17" s="46">
        <v>30</v>
      </c>
      <c r="C17" s="46">
        <v>500</v>
      </c>
      <c r="D17" s="46">
        <v>20</v>
      </c>
      <c r="E17" s="46" t="str">
        <f t="shared" si="0"/>
        <v>33050020</v>
      </c>
      <c r="F17" s="46">
        <v>185</v>
      </c>
      <c r="G17" s="46">
        <f>ROUND(Stress!$B$5/(('S-Table'!$F17*1000000/48)/225000)^0.25,2)</f>
        <v>2.46</v>
      </c>
    </row>
    <row r="18" spans="1:7" x14ac:dyDescent="0.25">
      <c r="A18" s="46">
        <v>2</v>
      </c>
      <c r="B18" s="46">
        <v>30</v>
      </c>
      <c r="C18" s="46">
        <v>500</v>
      </c>
      <c r="D18" s="46">
        <v>20</v>
      </c>
      <c r="E18" s="46" t="str">
        <f t="shared" si="0"/>
        <v>23050020</v>
      </c>
      <c r="F18" s="46">
        <v>200</v>
      </c>
      <c r="G18" s="46">
        <f>ROUND(Stress!$B$5/(('S-Table'!$F18*1000000/48)/225000)^0.25,2)</f>
        <v>2.41</v>
      </c>
    </row>
    <row r="19" spans="1:7" x14ac:dyDescent="0.25">
      <c r="A19" s="46">
        <v>1</v>
      </c>
      <c r="B19" s="46">
        <v>30</v>
      </c>
      <c r="C19" s="46">
        <v>500</v>
      </c>
      <c r="D19" s="46">
        <v>20</v>
      </c>
      <c r="E19" s="46" t="str">
        <f t="shared" si="0"/>
        <v>13050020</v>
      </c>
      <c r="F19" s="46">
        <v>210</v>
      </c>
      <c r="G19" s="46">
        <f>ROUND(Stress!$B$5/(('S-Table'!$F19*1000000/48)/225000)^0.25,2)</f>
        <v>2.38</v>
      </c>
    </row>
    <row r="20" spans="1:7" x14ac:dyDescent="0.25">
      <c r="A20" s="46">
        <v>3</v>
      </c>
      <c r="B20" s="46">
        <v>30</v>
      </c>
      <c r="C20" s="46">
        <v>1000</v>
      </c>
      <c r="D20" s="46">
        <v>10</v>
      </c>
      <c r="E20" s="46" t="str">
        <f t="shared" si="0"/>
        <v>330100010</v>
      </c>
      <c r="F20" s="46">
        <v>58</v>
      </c>
      <c r="G20" s="46">
        <f>ROUND(Stress!$B$5/(('S-Table'!$F20*1000000/48)/225000)^0.25,2)</f>
        <v>3.28</v>
      </c>
    </row>
    <row r="21" spans="1:7" x14ac:dyDescent="0.25">
      <c r="A21" s="46">
        <v>2</v>
      </c>
      <c r="B21" s="46">
        <v>30</v>
      </c>
      <c r="C21" s="46">
        <v>1000</v>
      </c>
      <c r="D21" s="46">
        <v>10</v>
      </c>
      <c r="E21" s="46" t="str">
        <f t="shared" si="0"/>
        <v>230100010</v>
      </c>
      <c r="F21" s="46">
        <v>62</v>
      </c>
      <c r="G21" s="46">
        <f>ROUND(Stress!$B$5/(('S-Table'!$F21*1000000/48)/225000)^0.25,2)</f>
        <v>3.23</v>
      </c>
    </row>
    <row r="22" spans="1:7" x14ac:dyDescent="0.25">
      <c r="A22" s="46">
        <v>1</v>
      </c>
      <c r="B22" s="46">
        <v>30</v>
      </c>
      <c r="C22" s="46">
        <v>1000</v>
      </c>
      <c r="D22" s="46">
        <v>10</v>
      </c>
      <c r="E22" s="46" t="str">
        <f t="shared" si="0"/>
        <v>130100010</v>
      </c>
      <c r="F22" s="46">
        <v>64</v>
      </c>
      <c r="G22" s="46">
        <f>ROUND(Stress!$B$5/(('S-Table'!$F22*1000000/48)/225000)^0.25,2)</f>
        <v>3.2</v>
      </c>
    </row>
    <row r="23" spans="1:7" x14ac:dyDescent="0.25">
      <c r="A23" s="46">
        <v>3</v>
      </c>
      <c r="B23" s="46">
        <v>30</v>
      </c>
      <c r="C23" s="46">
        <v>1000</v>
      </c>
      <c r="D23" s="46">
        <v>15</v>
      </c>
      <c r="E23" s="46" t="str">
        <f t="shared" si="0"/>
        <v>330100015</v>
      </c>
      <c r="F23" s="46">
        <v>76</v>
      </c>
      <c r="G23" s="46">
        <f>ROUND(Stress!$B$5/(('S-Table'!$F23*1000000/48)/225000)^0.25,2)</f>
        <v>3.07</v>
      </c>
    </row>
    <row r="24" spans="1:7" x14ac:dyDescent="0.25">
      <c r="A24" s="46">
        <v>2</v>
      </c>
      <c r="B24" s="46">
        <v>30</v>
      </c>
      <c r="C24" s="46">
        <v>1000</v>
      </c>
      <c r="D24" s="46">
        <v>15</v>
      </c>
      <c r="E24" s="46" t="str">
        <f t="shared" si="0"/>
        <v>230100015</v>
      </c>
      <c r="F24" s="46">
        <v>82</v>
      </c>
      <c r="G24" s="46">
        <f>ROUND(Stress!$B$5/(('S-Table'!$F24*1000000/48)/225000)^0.25,2)</f>
        <v>3.01</v>
      </c>
    </row>
    <row r="25" spans="1:7" x14ac:dyDescent="0.25">
      <c r="A25" s="46">
        <v>1</v>
      </c>
      <c r="B25" s="46">
        <v>30</v>
      </c>
      <c r="C25" s="46">
        <v>1000</v>
      </c>
      <c r="D25" s="46">
        <v>15</v>
      </c>
      <c r="E25" s="46" t="str">
        <f t="shared" si="0"/>
        <v>130100015</v>
      </c>
      <c r="F25" s="46">
        <v>86</v>
      </c>
      <c r="G25" s="46">
        <f>ROUND(Stress!$B$5/(('S-Table'!$F25*1000000/48)/225000)^0.25,2)</f>
        <v>2.98</v>
      </c>
    </row>
    <row r="26" spans="1:7" x14ac:dyDescent="0.25">
      <c r="A26" s="46">
        <v>3</v>
      </c>
      <c r="B26" s="46">
        <v>30</v>
      </c>
      <c r="C26" s="46">
        <v>1000</v>
      </c>
      <c r="D26" s="46">
        <v>20</v>
      </c>
      <c r="E26" s="46" t="str">
        <f t="shared" si="0"/>
        <v>330100020</v>
      </c>
      <c r="F26" s="46">
        <v>188</v>
      </c>
      <c r="G26" s="46">
        <f>ROUND(Stress!$B$5/(('S-Table'!$F26*1000000/48)/225000)^0.25,2)</f>
        <v>2.4500000000000002</v>
      </c>
    </row>
    <row r="27" spans="1:7" x14ac:dyDescent="0.25">
      <c r="A27" s="46">
        <v>2</v>
      </c>
      <c r="B27" s="46">
        <v>30</v>
      </c>
      <c r="C27" s="46">
        <v>1000</v>
      </c>
      <c r="D27" s="46">
        <v>20</v>
      </c>
      <c r="E27" s="46" t="str">
        <f t="shared" si="0"/>
        <v>230100020</v>
      </c>
      <c r="F27" s="46">
        <v>203</v>
      </c>
      <c r="G27" s="46">
        <f>ROUND(Stress!$B$5/(('S-Table'!$F27*1000000/48)/225000)^0.25,2)</f>
        <v>2.4</v>
      </c>
    </row>
    <row r="28" spans="1:7" x14ac:dyDescent="0.25">
      <c r="A28" s="46">
        <v>1</v>
      </c>
      <c r="B28" s="46">
        <v>30</v>
      </c>
      <c r="C28" s="46">
        <v>1000</v>
      </c>
      <c r="D28" s="46">
        <v>20</v>
      </c>
      <c r="E28" s="46" t="str">
        <f t="shared" si="0"/>
        <v>130100020</v>
      </c>
      <c r="F28" s="46">
        <v>213</v>
      </c>
      <c r="G28" s="46">
        <f>ROUND(Stress!$B$5/(('S-Table'!$F28*1000000/48)/225000)^0.25,2)</f>
        <v>2.37</v>
      </c>
    </row>
    <row r="29" spans="1:7" x14ac:dyDescent="0.25">
      <c r="A29" s="47">
        <v>3</v>
      </c>
      <c r="B29" s="47">
        <v>35</v>
      </c>
      <c r="C29" s="47">
        <v>100</v>
      </c>
      <c r="D29" s="47">
        <v>10</v>
      </c>
      <c r="E29" s="47" t="str">
        <f t="shared" si="0"/>
        <v>33510010</v>
      </c>
      <c r="F29" s="47">
        <v>62</v>
      </c>
      <c r="G29" s="47">
        <f>ROUND(Stress!$B$5/(('S-Table'!$F29*1000000/48)/225000)^0.25,2)</f>
        <v>3.23</v>
      </c>
    </row>
    <row r="30" spans="1:7" x14ac:dyDescent="0.25">
      <c r="A30" s="47">
        <v>2</v>
      </c>
      <c r="B30" s="47">
        <v>35</v>
      </c>
      <c r="C30" s="47">
        <v>100</v>
      </c>
      <c r="D30" s="47">
        <v>10</v>
      </c>
      <c r="E30" s="47" t="str">
        <f t="shared" si="0"/>
        <v>23510010</v>
      </c>
      <c r="F30" s="47">
        <v>66</v>
      </c>
      <c r="G30" s="47">
        <f>ROUND(Stress!$B$5/(('S-Table'!$F30*1000000/48)/225000)^0.25,2)</f>
        <v>3.18</v>
      </c>
    </row>
    <row r="31" spans="1:7" x14ac:dyDescent="0.25">
      <c r="A31" s="47">
        <v>1</v>
      </c>
      <c r="B31" s="47">
        <v>35</v>
      </c>
      <c r="C31" s="47">
        <v>100</v>
      </c>
      <c r="D31" s="47">
        <v>10</v>
      </c>
      <c r="E31" s="47" t="str">
        <f t="shared" si="0"/>
        <v>13510010</v>
      </c>
      <c r="F31" s="47">
        <v>69</v>
      </c>
      <c r="G31" s="47">
        <f>ROUND(Stress!$B$5/(('S-Table'!$F31*1000000/48)/225000)^0.25,2)</f>
        <v>3.14</v>
      </c>
    </row>
    <row r="32" spans="1:7" x14ac:dyDescent="0.25">
      <c r="A32" s="47">
        <v>3</v>
      </c>
      <c r="B32" s="47">
        <v>35</v>
      </c>
      <c r="C32" s="47">
        <v>100</v>
      </c>
      <c r="D32" s="47">
        <v>15</v>
      </c>
      <c r="E32" s="47" t="str">
        <f t="shared" si="0"/>
        <v>33510015</v>
      </c>
      <c r="F32" s="47">
        <v>84</v>
      </c>
      <c r="G32" s="47">
        <f>ROUND(Stress!$B$5/(('S-Table'!$F32*1000000/48)/225000)^0.25,2)</f>
        <v>2.99</v>
      </c>
    </row>
    <row r="33" spans="1:7" x14ac:dyDescent="0.25">
      <c r="A33" s="47">
        <v>2</v>
      </c>
      <c r="B33" s="47">
        <v>35</v>
      </c>
      <c r="C33" s="47">
        <v>100</v>
      </c>
      <c r="D33" s="47">
        <v>15</v>
      </c>
      <c r="E33" s="47" t="str">
        <f t="shared" si="0"/>
        <v>23510015</v>
      </c>
      <c r="F33" s="47">
        <v>90</v>
      </c>
      <c r="G33" s="47">
        <f>ROUND(Stress!$B$5/(('S-Table'!$F33*1000000/48)/225000)^0.25,2)</f>
        <v>2.94</v>
      </c>
    </row>
    <row r="34" spans="1:7" x14ac:dyDescent="0.25">
      <c r="A34" s="47">
        <v>1</v>
      </c>
      <c r="B34" s="47">
        <v>35</v>
      </c>
      <c r="C34" s="47">
        <v>100</v>
      </c>
      <c r="D34" s="47">
        <v>15</v>
      </c>
      <c r="E34" s="47" t="str">
        <f t="shared" si="0"/>
        <v>13510015</v>
      </c>
      <c r="F34" s="47">
        <v>95</v>
      </c>
      <c r="G34" s="47">
        <f>ROUND(Stress!$B$5/(('S-Table'!$F34*1000000/48)/225000)^0.25,2)</f>
        <v>2.9</v>
      </c>
    </row>
    <row r="35" spans="1:7" x14ac:dyDescent="0.25">
      <c r="A35" s="47">
        <v>3</v>
      </c>
      <c r="B35" s="47">
        <v>35</v>
      </c>
      <c r="C35" s="47">
        <v>100</v>
      </c>
      <c r="D35" s="47">
        <v>20</v>
      </c>
      <c r="E35" s="47" t="str">
        <f t="shared" si="0"/>
        <v>33510020</v>
      </c>
      <c r="F35" s="47">
        <v>198</v>
      </c>
      <c r="G35" s="47">
        <f>ROUND(Stress!$B$5/(('S-Table'!$F35*1000000/48)/225000)^0.25,2)</f>
        <v>2.42</v>
      </c>
    </row>
    <row r="36" spans="1:7" x14ac:dyDescent="0.25">
      <c r="A36" s="47">
        <v>2</v>
      </c>
      <c r="B36" s="47">
        <v>35</v>
      </c>
      <c r="C36" s="47">
        <v>100</v>
      </c>
      <c r="D36" s="47">
        <v>20</v>
      </c>
      <c r="E36" s="47" t="str">
        <f t="shared" si="0"/>
        <v>23510020</v>
      </c>
      <c r="F36" s="47">
        <v>213</v>
      </c>
      <c r="G36" s="47">
        <f>ROUND(Stress!$B$5/(('S-Table'!$F36*1000000/48)/225000)^0.25,2)</f>
        <v>2.37</v>
      </c>
    </row>
    <row r="37" spans="1:7" x14ac:dyDescent="0.25">
      <c r="A37" s="47">
        <v>1</v>
      </c>
      <c r="B37" s="47">
        <v>35</v>
      </c>
      <c r="C37" s="47">
        <v>100</v>
      </c>
      <c r="D37" s="47">
        <v>20</v>
      </c>
      <c r="E37" s="47" t="str">
        <f t="shared" si="0"/>
        <v>13510020</v>
      </c>
      <c r="F37" s="47">
        <v>221</v>
      </c>
      <c r="G37" s="47">
        <f>ROUND(Stress!$B$5/(('S-Table'!$F37*1000000/48)/225000)^0.25,2)</f>
        <v>2.35</v>
      </c>
    </row>
    <row r="38" spans="1:7" x14ac:dyDescent="0.25">
      <c r="A38" s="47">
        <v>3</v>
      </c>
      <c r="B38" s="47">
        <v>35</v>
      </c>
      <c r="C38" s="47">
        <v>500</v>
      </c>
      <c r="D38" s="47">
        <v>10</v>
      </c>
      <c r="E38" s="47" t="str">
        <f t="shared" si="0"/>
        <v>33550010</v>
      </c>
      <c r="F38" s="47">
        <v>64</v>
      </c>
      <c r="G38" s="47">
        <f>ROUND(Stress!$B$5/(('S-Table'!$F38*1000000/48)/225000)^0.25,2)</f>
        <v>3.2</v>
      </c>
    </row>
    <row r="39" spans="1:7" x14ac:dyDescent="0.25">
      <c r="A39" s="47">
        <v>2</v>
      </c>
      <c r="B39" s="47">
        <v>35</v>
      </c>
      <c r="C39" s="47">
        <v>500</v>
      </c>
      <c r="D39" s="47">
        <v>10</v>
      </c>
      <c r="E39" s="47" t="str">
        <f t="shared" si="0"/>
        <v>23550010</v>
      </c>
      <c r="F39" s="47">
        <v>68</v>
      </c>
      <c r="G39" s="47">
        <f>ROUND(Stress!$B$5/(('S-Table'!$F39*1000000/48)/225000)^0.25,2)</f>
        <v>3.16</v>
      </c>
    </row>
    <row r="40" spans="1:7" x14ac:dyDescent="0.25">
      <c r="A40" s="47">
        <v>1</v>
      </c>
      <c r="B40" s="47">
        <v>35</v>
      </c>
      <c r="C40" s="47">
        <v>500</v>
      </c>
      <c r="D40" s="47">
        <v>10</v>
      </c>
      <c r="E40" s="47" t="str">
        <f t="shared" si="0"/>
        <v>13550010</v>
      </c>
      <c r="F40" s="47">
        <v>71</v>
      </c>
      <c r="G40" s="47">
        <f>ROUND(Stress!$B$5/(('S-Table'!$F40*1000000/48)/225000)^0.25,2)</f>
        <v>3.12</v>
      </c>
    </row>
    <row r="41" spans="1:7" x14ac:dyDescent="0.25">
      <c r="A41" s="47">
        <v>3</v>
      </c>
      <c r="B41" s="47">
        <v>35</v>
      </c>
      <c r="C41" s="47">
        <v>500</v>
      </c>
      <c r="D41" s="47">
        <v>15</v>
      </c>
      <c r="E41" s="47" t="str">
        <f t="shared" si="0"/>
        <v>33550015</v>
      </c>
      <c r="F41" s="47">
        <v>86</v>
      </c>
      <c r="G41" s="47">
        <f>ROUND(Stress!$B$5/(('S-Table'!$F41*1000000/48)/225000)^0.25,2)</f>
        <v>2.98</v>
      </c>
    </row>
    <row r="42" spans="1:7" x14ac:dyDescent="0.25">
      <c r="A42" s="47">
        <v>2</v>
      </c>
      <c r="B42" s="47">
        <v>35</v>
      </c>
      <c r="C42" s="47">
        <v>500</v>
      </c>
      <c r="D42" s="47">
        <v>15</v>
      </c>
      <c r="E42" s="47" t="str">
        <f t="shared" si="0"/>
        <v>23550015</v>
      </c>
      <c r="F42" s="47">
        <v>92</v>
      </c>
      <c r="G42" s="47">
        <f>ROUND(Stress!$B$5/(('S-Table'!$F42*1000000/48)/225000)^0.25,2)</f>
        <v>2.93</v>
      </c>
    </row>
    <row r="43" spans="1:7" x14ac:dyDescent="0.25">
      <c r="A43" s="47">
        <v>1</v>
      </c>
      <c r="B43" s="47">
        <v>35</v>
      </c>
      <c r="C43" s="47">
        <v>500</v>
      </c>
      <c r="D43" s="47">
        <v>15</v>
      </c>
      <c r="E43" s="47" t="str">
        <f t="shared" si="0"/>
        <v>13550015</v>
      </c>
      <c r="F43" s="47">
        <v>97</v>
      </c>
      <c r="G43" s="47">
        <f>ROUND(Stress!$B$5/(('S-Table'!$F43*1000000/48)/225000)^0.25,2)</f>
        <v>2.89</v>
      </c>
    </row>
    <row r="44" spans="1:7" x14ac:dyDescent="0.25">
      <c r="A44" s="47">
        <v>3</v>
      </c>
      <c r="B44" s="47">
        <v>35</v>
      </c>
      <c r="C44" s="47">
        <v>500</v>
      </c>
      <c r="D44" s="47">
        <v>20</v>
      </c>
      <c r="E44" s="47" t="str">
        <f t="shared" si="0"/>
        <v>33550020</v>
      </c>
      <c r="F44" s="47">
        <v>200</v>
      </c>
      <c r="G44" s="47">
        <f>ROUND(Stress!$B$5/(('S-Table'!$F44*1000000/48)/225000)^0.25,2)</f>
        <v>2.41</v>
      </c>
    </row>
    <row r="45" spans="1:7" x14ac:dyDescent="0.25">
      <c r="A45" s="47">
        <v>2</v>
      </c>
      <c r="B45" s="47">
        <v>35</v>
      </c>
      <c r="C45" s="47">
        <v>500</v>
      </c>
      <c r="D45" s="47">
        <v>20</v>
      </c>
      <c r="E45" s="47" t="str">
        <f t="shared" si="0"/>
        <v>23550020</v>
      </c>
      <c r="F45" s="47">
        <v>215</v>
      </c>
      <c r="G45" s="47">
        <f>ROUND(Stress!$B$5/(('S-Table'!$F45*1000000/48)/225000)^0.25,2)</f>
        <v>2.37</v>
      </c>
    </row>
    <row r="46" spans="1:7" x14ac:dyDescent="0.25">
      <c r="A46" s="47">
        <v>1</v>
      </c>
      <c r="B46" s="47">
        <v>35</v>
      </c>
      <c r="C46" s="47">
        <v>500</v>
      </c>
      <c r="D46" s="47">
        <v>20</v>
      </c>
      <c r="E46" s="47" t="str">
        <f t="shared" si="0"/>
        <v>13550020</v>
      </c>
      <c r="F46" s="47">
        <v>223</v>
      </c>
      <c r="G46" s="47">
        <f>ROUND(Stress!$B$5/(('S-Table'!$F46*1000000/48)/225000)^0.25,2)</f>
        <v>2.35</v>
      </c>
    </row>
    <row r="47" spans="1:7" x14ac:dyDescent="0.25">
      <c r="A47" s="47">
        <v>3</v>
      </c>
      <c r="B47" s="47">
        <v>35</v>
      </c>
      <c r="C47" s="47">
        <v>1000</v>
      </c>
      <c r="D47" s="47">
        <v>10</v>
      </c>
      <c r="E47" s="47" t="str">
        <f t="shared" si="0"/>
        <v>335100010</v>
      </c>
      <c r="F47" s="47">
        <v>66</v>
      </c>
      <c r="G47" s="47">
        <f>ROUND(Stress!$B$5/(('S-Table'!$F47*1000000/48)/225000)^0.25,2)</f>
        <v>3.18</v>
      </c>
    </row>
    <row r="48" spans="1:7" x14ac:dyDescent="0.25">
      <c r="A48" s="47">
        <v>2</v>
      </c>
      <c r="B48" s="47">
        <v>35</v>
      </c>
      <c r="C48" s="47">
        <v>1000</v>
      </c>
      <c r="D48" s="47">
        <v>10</v>
      </c>
      <c r="E48" s="47" t="str">
        <f t="shared" si="0"/>
        <v>235100010</v>
      </c>
      <c r="F48" s="47">
        <v>70</v>
      </c>
      <c r="G48" s="47">
        <f>ROUND(Stress!$B$5/(('S-Table'!$F48*1000000/48)/225000)^0.25,2)</f>
        <v>3.13</v>
      </c>
    </row>
    <row r="49" spans="1:7" x14ac:dyDescent="0.25">
      <c r="A49" s="47">
        <v>1</v>
      </c>
      <c r="B49" s="47">
        <v>35</v>
      </c>
      <c r="C49" s="47">
        <v>1000</v>
      </c>
      <c r="D49" s="47">
        <v>10</v>
      </c>
      <c r="E49" s="47" t="str">
        <f t="shared" si="0"/>
        <v>135100010</v>
      </c>
      <c r="F49" s="47">
        <v>73</v>
      </c>
      <c r="G49" s="47">
        <f>ROUND(Stress!$B$5/(('S-Table'!$F49*1000000/48)/225000)^0.25,2)</f>
        <v>3.1</v>
      </c>
    </row>
    <row r="50" spans="1:7" x14ac:dyDescent="0.25">
      <c r="A50" s="47">
        <v>3</v>
      </c>
      <c r="B50" s="47">
        <v>35</v>
      </c>
      <c r="C50" s="47">
        <v>1000</v>
      </c>
      <c r="D50" s="47">
        <v>15</v>
      </c>
      <c r="E50" s="47" t="str">
        <f t="shared" si="0"/>
        <v>335100015</v>
      </c>
      <c r="F50" s="47">
        <v>88</v>
      </c>
      <c r="G50" s="47">
        <f>ROUND(Stress!$B$5/(('S-Table'!$F50*1000000/48)/225000)^0.25,2)</f>
        <v>2.96</v>
      </c>
    </row>
    <row r="51" spans="1:7" x14ac:dyDescent="0.25">
      <c r="A51" s="47">
        <v>2</v>
      </c>
      <c r="B51" s="47">
        <v>35</v>
      </c>
      <c r="C51" s="47">
        <v>1000</v>
      </c>
      <c r="D51" s="47">
        <v>15</v>
      </c>
      <c r="E51" s="47" t="str">
        <f t="shared" si="0"/>
        <v>235100015</v>
      </c>
      <c r="F51" s="47">
        <v>94</v>
      </c>
      <c r="G51" s="47">
        <f>ROUND(Stress!$B$5/(('S-Table'!$F51*1000000/48)/225000)^0.25,2)</f>
        <v>2.91</v>
      </c>
    </row>
    <row r="52" spans="1:7" x14ac:dyDescent="0.25">
      <c r="A52" s="47">
        <v>1</v>
      </c>
      <c r="B52" s="47">
        <v>35</v>
      </c>
      <c r="C52" s="47">
        <v>1000</v>
      </c>
      <c r="D52" s="47">
        <v>15</v>
      </c>
      <c r="E52" s="47" t="str">
        <f t="shared" si="0"/>
        <v>135100015</v>
      </c>
      <c r="F52" s="47">
        <v>99</v>
      </c>
      <c r="G52" s="47">
        <f>ROUND(Stress!$B$5/(('S-Table'!$F52*1000000/48)/225000)^0.25,2)</f>
        <v>2.87</v>
      </c>
    </row>
    <row r="53" spans="1:7" x14ac:dyDescent="0.25">
      <c r="A53" s="47">
        <v>3</v>
      </c>
      <c r="B53" s="47">
        <v>35</v>
      </c>
      <c r="C53" s="47">
        <v>1000</v>
      </c>
      <c r="D53" s="47">
        <v>20</v>
      </c>
      <c r="E53" s="47" t="str">
        <f t="shared" si="0"/>
        <v>335100020</v>
      </c>
      <c r="F53" s="47">
        <v>202</v>
      </c>
      <c r="G53" s="47">
        <f>ROUND(Stress!$B$5/(('S-Table'!$F53*1000000/48)/225000)^0.25,2)</f>
        <v>2.4</v>
      </c>
    </row>
    <row r="54" spans="1:7" x14ac:dyDescent="0.25">
      <c r="A54" s="47">
        <v>2</v>
      </c>
      <c r="B54" s="47">
        <v>35</v>
      </c>
      <c r="C54" s="47">
        <v>1000</v>
      </c>
      <c r="D54" s="47">
        <v>20</v>
      </c>
      <c r="E54" s="47" t="str">
        <f t="shared" si="0"/>
        <v>235100020</v>
      </c>
      <c r="F54" s="47">
        <v>217</v>
      </c>
      <c r="G54" s="47">
        <f>ROUND(Stress!$B$5/(('S-Table'!$F54*1000000/48)/225000)^0.25,2)</f>
        <v>2.36</v>
      </c>
    </row>
    <row r="55" spans="1:7" x14ac:dyDescent="0.25">
      <c r="A55" s="47">
        <v>1</v>
      </c>
      <c r="B55" s="47">
        <v>35</v>
      </c>
      <c r="C55" s="47">
        <v>1000</v>
      </c>
      <c r="D55" s="47">
        <v>20</v>
      </c>
      <c r="E55" s="47" t="str">
        <f t="shared" si="0"/>
        <v>135100020</v>
      </c>
      <c r="F55" s="47">
        <v>225</v>
      </c>
      <c r="G55" s="47">
        <f>ROUND(Stress!$B$5/(('S-Table'!$F55*1000000/48)/225000)^0.25,2)</f>
        <v>2.34</v>
      </c>
    </row>
    <row r="56" spans="1:7" x14ac:dyDescent="0.25">
      <c r="A56" s="46">
        <v>3</v>
      </c>
      <c r="B56" s="46">
        <v>25</v>
      </c>
      <c r="C56" s="46">
        <v>100</v>
      </c>
      <c r="D56" s="46">
        <v>10</v>
      </c>
      <c r="E56" s="46" t="str">
        <f t="shared" si="0"/>
        <v>32510010</v>
      </c>
      <c r="F56" s="46">
        <v>47</v>
      </c>
      <c r="G56" s="46">
        <f>ROUND(Stress!$B$5/(('S-Table'!$F56*1000000/48)/225000)^0.25,2)</f>
        <v>3.46</v>
      </c>
    </row>
    <row r="57" spans="1:7" x14ac:dyDescent="0.25">
      <c r="A57" s="46">
        <v>2</v>
      </c>
      <c r="B57" s="46">
        <v>25</v>
      </c>
      <c r="C57" s="46">
        <v>100</v>
      </c>
      <c r="D57" s="46">
        <v>10</v>
      </c>
      <c r="E57" s="46" t="str">
        <f t="shared" si="0"/>
        <v>22510010</v>
      </c>
      <c r="F57" s="46">
        <v>51</v>
      </c>
      <c r="G57" s="46">
        <f>ROUND(Stress!$B$5/(('S-Table'!$F57*1000000/48)/225000)^0.25,2)</f>
        <v>3.39</v>
      </c>
    </row>
    <row r="58" spans="1:7" x14ac:dyDescent="0.25">
      <c r="A58" s="46">
        <v>1</v>
      </c>
      <c r="B58" s="46">
        <v>25</v>
      </c>
      <c r="C58" s="46">
        <v>100</v>
      </c>
      <c r="D58" s="46">
        <v>10</v>
      </c>
      <c r="E58" s="46" t="str">
        <f t="shared" si="0"/>
        <v>12510010</v>
      </c>
      <c r="F58" s="46">
        <v>54</v>
      </c>
      <c r="G58" s="46">
        <f>ROUND(Stress!$B$5/(('S-Table'!$F58*1000000/48)/225000)^0.25,2)</f>
        <v>3.34</v>
      </c>
    </row>
    <row r="59" spans="1:7" x14ac:dyDescent="0.25">
      <c r="A59" s="46">
        <v>3</v>
      </c>
      <c r="B59" s="46">
        <v>25</v>
      </c>
      <c r="C59" s="46">
        <v>100</v>
      </c>
      <c r="D59" s="46">
        <v>15</v>
      </c>
      <c r="E59" s="46" t="str">
        <f t="shared" si="0"/>
        <v>32510015</v>
      </c>
      <c r="F59" s="46">
        <v>62</v>
      </c>
      <c r="G59" s="46">
        <f>ROUND(Stress!$B$5/(('S-Table'!$F59*1000000/48)/225000)^0.25,2)</f>
        <v>3.23</v>
      </c>
    </row>
    <row r="60" spans="1:7" x14ac:dyDescent="0.25">
      <c r="A60" s="46">
        <v>2</v>
      </c>
      <c r="B60" s="46">
        <v>25</v>
      </c>
      <c r="C60" s="46">
        <v>100</v>
      </c>
      <c r="D60" s="46">
        <v>15</v>
      </c>
      <c r="E60" s="46" t="str">
        <f t="shared" si="0"/>
        <v>22510015</v>
      </c>
      <c r="F60" s="46">
        <v>68</v>
      </c>
      <c r="G60" s="46">
        <f>ROUND(Stress!$B$5/(('S-Table'!$F60*1000000/48)/225000)^0.25,2)</f>
        <v>3.16</v>
      </c>
    </row>
    <row r="61" spans="1:7" x14ac:dyDescent="0.25">
      <c r="A61" s="46">
        <v>1</v>
      </c>
      <c r="B61" s="46">
        <v>25</v>
      </c>
      <c r="C61" s="46">
        <v>100</v>
      </c>
      <c r="D61" s="46">
        <v>15</v>
      </c>
      <c r="E61" s="46" t="str">
        <f t="shared" si="0"/>
        <v>12510015</v>
      </c>
      <c r="F61" s="46">
        <v>72</v>
      </c>
      <c r="G61" s="46">
        <f>ROUND(Stress!$B$5/(('S-Table'!$F61*1000000/48)/225000)^0.25,2)</f>
        <v>3.11</v>
      </c>
    </row>
    <row r="62" spans="1:7" x14ac:dyDescent="0.25">
      <c r="A62" s="46">
        <v>3</v>
      </c>
      <c r="B62" s="46">
        <v>25</v>
      </c>
      <c r="C62" s="46">
        <v>100</v>
      </c>
      <c r="D62" s="46">
        <v>20</v>
      </c>
      <c r="E62" s="46" t="str">
        <f t="shared" si="0"/>
        <v>32510020</v>
      </c>
      <c r="F62" s="46">
        <v>169</v>
      </c>
      <c r="G62" s="46">
        <f>ROUND(Stress!$B$5/(('S-Table'!$F62*1000000/48)/225000)^0.25,2)</f>
        <v>2.5099999999999998</v>
      </c>
    </row>
    <row r="63" spans="1:7" x14ac:dyDescent="0.25">
      <c r="A63" s="46">
        <v>2</v>
      </c>
      <c r="B63" s="46">
        <v>25</v>
      </c>
      <c r="C63" s="46">
        <v>100</v>
      </c>
      <c r="D63" s="46">
        <v>20</v>
      </c>
      <c r="E63" s="46" t="str">
        <f t="shared" si="0"/>
        <v>22510020</v>
      </c>
      <c r="F63" s="46">
        <v>184</v>
      </c>
      <c r="G63" s="46">
        <f>ROUND(Stress!$B$5/(('S-Table'!$F63*1000000/48)/225000)^0.25,2)</f>
        <v>2.46</v>
      </c>
    </row>
    <row r="64" spans="1:7" x14ac:dyDescent="0.25">
      <c r="A64" s="46">
        <v>1</v>
      </c>
      <c r="B64" s="46">
        <v>25</v>
      </c>
      <c r="C64" s="46">
        <v>100</v>
      </c>
      <c r="D64" s="46">
        <v>20</v>
      </c>
      <c r="E64" s="46" t="str">
        <f t="shared" si="0"/>
        <v>12510020</v>
      </c>
      <c r="F64" s="46">
        <v>192</v>
      </c>
      <c r="G64" s="46">
        <f>ROUND(Stress!$B$5/(('S-Table'!$F64*1000000/48)/225000)^0.25,2)</f>
        <v>2.44</v>
      </c>
    </row>
    <row r="65" spans="1:7" x14ac:dyDescent="0.25">
      <c r="A65" s="46">
        <v>3</v>
      </c>
      <c r="B65" s="46">
        <v>25</v>
      </c>
      <c r="C65" s="46">
        <v>500</v>
      </c>
      <c r="D65" s="46">
        <v>10</v>
      </c>
      <c r="E65" s="46" t="str">
        <f t="shared" si="0"/>
        <v>32550010</v>
      </c>
      <c r="F65" s="46">
        <v>49</v>
      </c>
      <c r="G65" s="46">
        <f>ROUND(Stress!$B$5/(('S-Table'!$F65*1000000/48)/225000)^0.25,2)</f>
        <v>3.43</v>
      </c>
    </row>
    <row r="66" spans="1:7" x14ac:dyDescent="0.25">
      <c r="A66" s="46">
        <v>2</v>
      </c>
      <c r="B66" s="46">
        <v>25</v>
      </c>
      <c r="C66" s="46">
        <v>500</v>
      </c>
      <c r="D66" s="46">
        <v>10</v>
      </c>
      <c r="E66" s="46" t="str">
        <f t="shared" si="0"/>
        <v>22550010</v>
      </c>
      <c r="F66" s="46">
        <v>53</v>
      </c>
      <c r="G66" s="46">
        <f>ROUND(Stress!$B$5/(('S-Table'!$F66*1000000/48)/225000)^0.25,2)</f>
        <v>3.36</v>
      </c>
    </row>
    <row r="67" spans="1:7" x14ac:dyDescent="0.25">
      <c r="A67" s="46">
        <v>1</v>
      </c>
      <c r="B67" s="46">
        <v>25</v>
      </c>
      <c r="C67" s="46">
        <v>500</v>
      </c>
      <c r="D67" s="46">
        <v>10</v>
      </c>
      <c r="E67" s="46" t="str">
        <f t="shared" ref="E67:E82" si="1">CONCATENATE(A67,B67,C67,D67)</f>
        <v>12550010</v>
      </c>
      <c r="F67" s="46">
        <v>56</v>
      </c>
      <c r="G67" s="46">
        <f>ROUND(Stress!$B$5/(('S-Table'!$F67*1000000/48)/225000)^0.25,2)</f>
        <v>3.31</v>
      </c>
    </row>
    <row r="68" spans="1:7" x14ac:dyDescent="0.25">
      <c r="A68" s="46">
        <v>3</v>
      </c>
      <c r="B68" s="46">
        <v>25</v>
      </c>
      <c r="C68" s="46">
        <v>500</v>
      </c>
      <c r="D68" s="46">
        <v>15</v>
      </c>
      <c r="E68" s="46" t="str">
        <f t="shared" si="1"/>
        <v>32550015</v>
      </c>
      <c r="F68" s="46">
        <v>64</v>
      </c>
      <c r="G68" s="46">
        <f>ROUND(Stress!$B$5/(('S-Table'!$F68*1000000/48)/225000)^0.25,2)</f>
        <v>3.2</v>
      </c>
    </row>
    <row r="69" spans="1:7" x14ac:dyDescent="0.25">
      <c r="A69" s="46">
        <v>2</v>
      </c>
      <c r="B69" s="46">
        <v>25</v>
      </c>
      <c r="C69" s="46">
        <v>500</v>
      </c>
      <c r="D69" s="46">
        <v>15</v>
      </c>
      <c r="E69" s="46" t="str">
        <f t="shared" si="1"/>
        <v>22550015</v>
      </c>
      <c r="F69" s="46">
        <v>70</v>
      </c>
      <c r="G69" s="46">
        <f>ROUND(Stress!$B$5/(('S-Table'!$F69*1000000/48)/225000)^0.25,2)</f>
        <v>3.13</v>
      </c>
    </row>
    <row r="70" spans="1:7" x14ac:dyDescent="0.25">
      <c r="A70" s="46">
        <v>1</v>
      </c>
      <c r="B70" s="46">
        <v>25</v>
      </c>
      <c r="C70" s="46">
        <v>500</v>
      </c>
      <c r="D70" s="46">
        <v>15</v>
      </c>
      <c r="E70" s="46" t="str">
        <f t="shared" si="1"/>
        <v>12550015</v>
      </c>
      <c r="F70" s="46">
        <v>74</v>
      </c>
      <c r="G70" s="46">
        <f>ROUND(Stress!$B$5/(('S-Table'!$F70*1000000/48)/225000)^0.25,2)</f>
        <v>3.09</v>
      </c>
    </row>
    <row r="71" spans="1:7" x14ac:dyDescent="0.25">
      <c r="A71" s="46">
        <v>3</v>
      </c>
      <c r="B71" s="46">
        <v>25</v>
      </c>
      <c r="C71" s="46">
        <v>500</v>
      </c>
      <c r="D71" s="46">
        <v>20</v>
      </c>
      <c r="E71" s="46" t="str">
        <f t="shared" si="1"/>
        <v>32550020</v>
      </c>
      <c r="F71" s="46">
        <v>171</v>
      </c>
      <c r="G71" s="46">
        <f>ROUND(Stress!$B$5/(('S-Table'!$F71*1000000/48)/225000)^0.25,2)</f>
        <v>2.5099999999999998</v>
      </c>
    </row>
    <row r="72" spans="1:7" x14ac:dyDescent="0.25">
      <c r="A72" s="46">
        <v>2</v>
      </c>
      <c r="B72" s="46">
        <v>25</v>
      </c>
      <c r="C72" s="46">
        <v>500</v>
      </c>
      <c r="D72" s="46">
        <v>20</v>
      </c>
      <c r="E72" s="46" t="str">
        <f t="shared" si="1"/>
        <v>22550020</v>
      </c>
      <c r="F72" s="46">
        <v>186</v>
      </c>
      <c r="G72" s="46">
        <f>ROUND(Stress!$B$5/(('S-Table'!$F72*1000000/48)/225000)^0.25,2)</f>
        <v>2.4500000000000002</v>
      </c>
    </row>
    <row r="73" spans="1:7" x14ac:dyDescent="0.25">
      <c r="A73" s="46">
        <v>1</v>
      </c>
      <c r="B73" s="46">
        <v>25</v>
      </c>
      <c r="C73" s="46">
        <v>500</v>
      </c>
      <c r="D73" s="46">
        <v>20</v>
      </c>
      <c r="E73" s="46" t="str">
        <f t="shared" si="1"/>
        <v>12550020</v>
      </c>
      <c r="F73" s="46">
        <v>194</v>
      </c>
      <c r="G73" s="46">
        <f>ROUND(Stress!$B$5/(('S-Table'!$F73*1000000/48)/225000)^0.25,2)</f>
        <v>2.4300000000000002</v>
      </c>
    </row>
    <row r="74" spans="1:7" x14ac:dyDescent="0.25">
      <c r="A74" s="46">
        <v>3</v>
      </c>
      <c r="B74" s="46">
        <v>25</v>
      </c>
      <c r="C74" s="46">
        <v>1000</v>
      </c>
      <c r="D74" s="46">
        <v>10</v>
      </c>
      <c r="E74" s="46" t="str">
        <f t="shared" si="1"/>
        <v>325100010</v>
      </c>
      <c r="F74" s="46">
        <v>51</v>
      </c>
      <c r="G74" s="46">
        <f>ROUND(Stress!$B$5/(('S-Table'!$F74*1000000/48)/225000)^0.25,2)</f>
        <v>3.39</v>
      </c>
    </row>
    <row r="75" spans="1:7" x14ac:dyDescent="0.25">
      <c r="A75" s="46">
        <v>2</v>
      </c>
      <c r="B75" s="46">
        <v>25</v>
      </c>
      <c r="C75" s="46">
        <v>1000</v>
      </c>
      <c r="D75" s="46">
        <v>10</v>
      </c>
      <c r="E75" s="46" t="str">
        <f t="shared" si="1"/>
        <v>225100010</v>
      </c>
      <c r="F75" s="46">
        <v>55</v>
      </c>
      <c r="G75" s="46">
        <f>ROUND(Stress!$B$5/(('S-Table'!$F75*1000000/48)/225000)^0.25,2)</f>
        <v>3.33</v>
      </c>
    </row>
    <row r="76" spans="1:7" x14ac:dyDescent="0.25">
      <c r="A76" s="46">
        <v>1</v>
      </c>
      <c r="B76" s="46">
        <v>25</v>
      </c>
      <c r="C76" s="46">
        <v>1000</v>
      </c>
      <c r="D76" s="46">
        <v>10</v>
      </c>
      <c r="E76" s="46" t="str">
        <f t="shared" si="1"/>
        <v>125100010</v>
      </c>
      <c r="F76" s="46">
        <v>58</v>
      </c>
      <c r="G76" s="46">
        <f>ROUND(Stress!$B$5/(('S-Table'!$F76*1000000/48)/225000)^0.25,2)</f>
        <v>3.28</v>
      </c>
    </row>
    <row r="77" spans="1:7" x14ac:dyDescent="0.25">
      <c r="A77" s="46">
        <v>3</v>
      </c>
      <c r="B77" s="46">
        <v>25</v>
      </c>
      <c r="C77" s="46">
        <v>1000</v>
      </c>
      <c r="D77" s="46">
        <v>15</v>
      </c>
      <c r="E77" s="46" t="str">
        <f t="shared" si="1"/>
        <v>325100015</v>
      </c>
      <c r="F77" s="46">
        <v>66</v>
      </c>
      <c r="G77" s="46">
        <f>ROUND(Stress!$B$5/(('S-Table'!$F77*1000000/48)/225000)^0.25,2)</f>
        <v>3.18</v>
      </c>
    </row>
    <row r="78" spans="1:7" x14ac:dyDescent="0.25">
      <c r="A78" s="46">
        <v>2</v>
      </c>
      <c r="B78" s="46">
        <v>25</v>
      </c>
      <c r="C78" s="46">
        <v>1000</v>
      </c>
      <c r="D78" s="46">
        <v>15</v>
      </c>
      <c r="E78" s="46" t="str">
        <f t="shared" si="1"/>
        <v>225100015</v>
      </c>
      <c r="F78" s="46">
        <v>72</v>
      </c>
      <c r="G78" s="46">
        <f>ROUND(Stress!$B$5/(('S-Table'!$F78*1000000/48)/225000)^0.25,2)</f>
        <v>3.11</v>
      </c>
    </row>
    <row r="79" spans="1:7" x14ac:dyDescent="0.25">
      <c r="A79" s="46">
        <v>1</v>
      </c>
      <c r="B79" s="46">
        <v>25</v>
      </c>
      <c r="C79" s="46">
        <v>1000</v>
      </c>
      <c r="D79" s="46">
        <v>15</v>
      </c>
      <c r="E79" s="46" t="str">
        <f t="shared" si="1"/>
        <v>125100015</v>
      </c>
      <c r="F79" s="46">
        <v>76</v>
      </c>
      <c r="G79" s="46">
        <f>ROUND(Stress!$B$5/(('S-Table'!$F79*1000000/48)/225000)^0.25,2)</f>
        <v>3.07</v>
      </c>
    </row>
    <row r="80" spans="1:7" x14ac:dyDescent="0.25">
      <c r="A80" s="46">
        <v>3</v>
      </c>
      <c r="B80" s="46">
        <v>25</v>
      </c>
      <c r="C80" s="46">
        <v>1000</v>
      </c>
      <c r="D80" s="46">
        <v>20</v>
      </c>
      <c r="E80" s="46" t="str">
        <f t="shared" si="1"/>
        <v>325100020</v>
      </c>
      <c r="F80" s="46">
        <v>173</v>
      </c>
      <c r="G80" s="46">
        <f>ROUND(Stress!$B$5/(('S-Table'!$F80*1000000/48)/225000)^0.25,2)</f>
        <v>2.5</v>
      </c>
    </row>
    <row r="81" spans="1:7" x14ac:dyDescent="0.25">
      <c r="A81" s="46">
        <v>2</v>
      </c>
      <c r="B81" s="46">
        <v>25</v>
      </c>
      <c r="C81" s="46">
        <v>1000</v>
      </c>
      <c r="D81" s="46">
        <v>20</v>
      </c>
      <c r="E81" s="46" t="str">
        <f t="shared" si="1"/>
        <v>225100020</v>
      </c>
      <c r="F81" s="46">
        <v>188</v>
      </c>
      <c r="G81" s="46">
        <f>ROUND(Stress!$B$5/(('S-Table'!$F81*1000000/48)/225000)^0.25,2)</f>
        <v>2.4500000000000002</v>
      </c>
    </row>
    <row r="82" spans="1:7" x14ac:dyDescent="0.25">
      <c r="A82" s="46">
        <v>1</v>
      </c>
      <c r="B82" s="46">
        <v>25</v>
      </c>
      <c r="C82" s="46">
        <v>1000</v>
      </c>
      <c r="D82" s="46">
        <v>20</v>
      </c>
      <c r="E82" s="46" t="str">
        <f t="shared" si="1"/>
        <v>125100020</v>
      </c>
      <c r="F82" s="46">
        <v>196</v>
      </c>
      <c r="G82" s="46">
        <f>ROUND(Stress!$B$5/(('S-Table'!$F82*1000000/48)/225000)^0.25,2)</f>
        <v>2.42</v>
      </c>
    </row>
  </sheetData>
  <sheetProtection algorithmName="SHA-512" hashValue="4ZGBwlIp2OMKPLE/tqmLyVEj9ThvOjofAOG2iRweERWCNkRa3cCrsf++rVM/vrnhcGDQy/EHZIYJTbS1eFJDiQ==" saltValue="E8wufL4Fep6xjngqGVcty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41B2D-BFD5-407D-8BE1-27B4B2CA6140}">
  <sheetPr codeName="Sheet6">
    <tabColor theme="3" tint="0.59999389629810485"/>
  </sheetPr>
  <dimension ref="A1:AQ33"/>
  <sheetViews>
    <sheetView zoomScale="85" zoomScaleNormal="85" workbookViewId="0">
      <selection activeCell="BC14" sqref="BC14"/>
    </sheetView>
  </sheetViews>
  <sheetFormatPr defaultRowHeight="13.2" x14ac:dyDescent="0.25"/>
  <cols>
    <col min="5" max="5" width="1.6640625" customWidth="1"/>
    <col min="6" max="10" width="0" hidden="1" customWidth="1"/>
    <col min="11" max="11" width="9.109375" hidden="1" customWidth="1"/>
    <col min="12" max="13" width="0" hidden="1" customWidth="1"/>
    <col min="14" max="14" width="1.6640625" hidden="1" customWidth="1"/>
    <col min="15" max="21" width="0" hidden="1" customWidth="1"/>
    <col min="22" max="22" width="1.6640625" hidden="1" customWidth="1"/>
    <col min="23" max="28" width="0" hidden="1" customWidth="1"/>
    <col min="29" max="32" width="9.109375" hidden="1" customWidth="1"/>
    <col min="33" max="33" width="1.6640625" hidden="1" customWidth="1"/>
    <col min="34" max="42" width="0" hidden="1" customWidth="1"/>
    <col min="43" max="43" width="1.6640625" hidden="1" customWidth="1"/>
  </cols>
  <sheetData>
    <row r="1" spans="1:43" ht="26.4" x14ac:dyDescent="0.25">
      <c r="A1" s="13"/>
      <c r="B1" s="7" t="s">
        <v>21</v>
      </c>
      <c r="C1" s="37" t="s">
        <v>22</v>
      </c>
      <c r="D1" s="4" t="s">
        <v>498</v>
      </c>
      <c r="E1" s="9"/>
      <c r="F1" s="7" t="s">
        <v>369</v>
      </c>
      <c r="G1" s="7" t="s">
        <v>373</v>
      </c>
      <c r="H1" s="7" t="s">
        <v>505</v>
      </c>
      <c r="I1" s="7" t="s">
        <v>374</v>
      </c>
      <c r="J1" s="7" t="s">
        <v>499</v>
      </c>
      <c r="K1" s="7" t="s">
        <v>504</v>
      </c>
      <c r="L1" s="4" t="s">
        <v>506</v>
      </c>
      <c r="M1" s="4"/>
      <c r="N1" s="9"/>
      <c r="O1" s="7" t="s">
        <v>369</v>
      </c>
      <c r="P1" s="7" t="s">
        <v>373</v>
      </c>
      <c r="Q1" s="7" t="s">
        <v>505</v>
      </c>
      <c r="R1" s="7" t="s">
        <v>374</v>
      </c>
      <c r="S1" s="7" t="s">
        <v>504</v>
      </c>
      <c r="T1" s="4" t="s">
        <v>506</v>
      </c>
      <c r="U1" s="4"/>
      <c r="V1" s="9"/>
      <c r="W1" s="7" t="s">
        <v>369</v>
      </c>
      <c r="X1" s="7" t="s">
        <v>373</v>
      </c>
      <c r="Y1" s="7" t="s">
        <v>505</v>
      </c>
      <c r="Z1" s="7" t="s">
        <v>374</v>
      </c>
      <c r="AA1" s="7" t="s">
        <v>504</v>
      </c>
      <c r="AB1" s="4" t="s">
        <v>506</v>
      </c>
      <c r="AC1" s="4" t="s">
        <v>499</v>
      </c>
      <c r="AD1" s="4"/>
      <c r="AE1" s="4"/>
      <c r="AF1" s="4"/>
      <c r="AG1" s="9"/>
      <c r="AH1" s="7" t="s">
        <v>369</v>
      </c>
      <c r="AI1" s="7" t="s">
        <v>373</v>
      </c>
      <c r="AJ1" s="7" t="s">
        <v>505</v>
      </c>
      <c r="AK1" s="4" t="s">
        <v>509</v>
      </c>
      <c r="AL1" s="4" t="s">
        <v>517</v>
      </c>
      <c r="AM1" s="4" t="s">
        <v>510</v>
      </c>
      <c r="AN1" s="4" t="s">
        <v>499</v>
      </c>
      <c r="AO1" s="4" t="s">
        <v>374</v>
      </c>
      <c r="AP1" s="4"/>
      <c r="AQ1" s="5"/>
    </row>
    <row r="2" spans="1:43" x14ac:dyDescent="0.25">
      <c r="A2" s="6" t="s">
        <v>369</v>
      </c>
      <c r="B2" s="19">
        <f>Input!C7</f>
        <v>2</v>
      </c>
      <c r="C2" s="19"/>
      <c r="D2" s="19"/>
      <c r="E2" s="5"/>
      <c r="F2" s="34">
        <f>$B$2</f>
        <v>2</v>
      </c>
      <c r="G2" s="34">
        <f>$C$3</f>
        <v>25</v>
      </c>
      <c r="H2" s="34">
        <f>$C$4</f>
        <v>100</v>
      </c>
      <c r="I2" s="34">
        <v>10</v>
      </c>
      <c r="J2" s="3" t="str">
        <f>CONCATENATE(F2,G2,H2,I2)</f>
        <v>22510010</v>
      </c>
      <c r="K2" s="3">
        <f>VLOOKUP($J2,'S-Table'!$E$2:$G$82,2,FALSE)</f>
        <v>51</v>
      </c>
      <c r="L2" s="34">
        <f>VLOOKUP($J2,'S-Table'!$E$2:$G$82,3,FALSE)</f>
        <v>3.39</v>
      </c>
      <c r="M2" s="34"/>
      <c r="N2" s="5"/>
      <c r="O2" s="39">
        <f>F2</f>
        <v>2</v>
      </c>
      <c r="P2" s="39">
        <f t="shared" ref="P2:R13" si="0">G2</f>
        <v>25</v>
      </c>
      <c r="Q2" s="105">
        <f>B4</f>
        <v>500</v>
      </c>
      <c r="R2" s="107">
        <f t="shared" si="0"/>
        <v>10</v>
      </c>
      <c r="S2" s="105">
        <f>((K2-K5)*Q2+(K5*H2-H5*K2))/(H2-H5)</f>
        <v>53</v>
      </c>
      <c r="T2" s="105">
        <f>((L2-L5)*Q2+(L5*H2-H5*L2))/(H2-H5)</f>
        <v>3.3599999999999994</v>
      </c>
      <c r="U2" s="105"/>
      <c r="V2" s="5"/>
      <c r="W2" s="107">
        <f>B2</f>
        <v>2</v>
      </c>
      <c r="X2" s="105">
        <f>B3</f>
        <v>30</v>
      </c>
      <c r="Y2" s="105">
        <f>B4</f>
        <v>500</v>
      </c>
      <c r="Z2" s="107">
        <f>R2</f>
        <v>10</v>
      </c>
      <c r="AA2" s="107">
        <f>ROUND(((S2-S8)*X2+(S8*P2-P8*S2))/(P2-P8),0)</f>
        <v>60</v>
      </c>
      <c r="AB2" s="107">
        <f>((T2-T8)*X2+(T8*P2-P8*T2))/(P2-P8)</f>
        <v>3.2599999999999989</v>
      </c>
      <c r="AC2" s="40" t="str">
        <f>CONCATENATE(W2,X2,Y2,AA2)</f>
        <v>23050060</v>
      </c>
      <c r="AD2" s="40">
        <v>1</v>
      </c>
      <c r="AE2" s="40">
        <f>Z2</f>
        <v>10</v>
      </c>
      <c r="AF2" s="107"/>
      <c r="AG2" s="5"/>
      <c r="AH2" s="107">
        <f>W2</f>
        <v>2</v>
      </c>
      <c r="AI2" s="105">
        <f>X2</f>
        <v>30</v>
      </c>
      <c r="AJ2" s="105">
        <f>Y2</f>
        <v>500</v>
      </c>
      <c r="AK2" s="105">
        <f>B6</f>
        <v>60</v>
      </c>
      <c r="AL2" s="105">
        <f>LN(AK2)</f>
        <v>4.0943445622221004</v>
      </c>
      <c r="AM2" s="105">
        <f>B9</f>
        <v>102.99</v>
      </c>
      <c r="AN2" s="43" t="str">
        <f>CONCATENATE(AH2,AI2,AJ2,AK2)</f>
        <v>23050060</v>
      </c>
      <c r="AO2" s="107">
        <f>ROUND(IF(AK2=AA2,Z2+C10,IF(AK2=AA6,Z6+C10,IF(AK2=AA10,Z10+C10,IF(AK2&lt;AA6,((W15-W16)*AL2+(W16*Z15-Z16*W15))/(Z15-Z16)+C10,((W16-W17)*AL2+(W17*Z16-Z17*W16))/(Z16-Z17)+C10)))),1)</f>
        <v>10</v>
      </c>
      <c r="AP2" s="107"/>
      <c r="AQ2" s="5"/>
    </row>
    <row r="3" spans="1:43" x14ac:dyDescent="0.25">
      <c r="A3" s="6" t="s">
        <v>373</v>
      </c>
      <c r="B3" s="3">
        <f>Input!F7</f>
        <v>30</v>
      </c>
      <c r="C3" s="19">
        <f>IF(B3&gt;25,25,IF(B3&gt;30,30,35))</f>
        <v>25</v>
      </c>
      <c r="D3" s="19">
        <f>IF(B3&lt;=25,25,IF(B3&lt;=30,30,35))</f>
        <v>30</v>
      </c>
      <c r="E3" s="5"/>
      <c r="F3" s="39">
        <f t="shared" ref="F3:F13" si="1">$B$2</f>
        <v>2</v>
      </c>
      <c r="G3" s="39">
        <f t="shared" ref="G3:G7" si="2">$C$3</f>
        <v>25</v>
      </c>
      <c r="H3" s="39">
        <f t="shared" ref="H3:H4" si="3">$C$4</f>
        <v>100</v>
      </c>
      <c r="I3" s="3">
        <v>15</v>
      </c>
      <c r="J3" s="3" t="str">
        <f t="shared" ref="J3:J13" si="4">CONCATENATE(F3,G3,H3,I3)</f>
        <v>22510015</v>
      </c>
      <c r="K3" s="3">
        <f>VLOOKUP($J3,'S-Table'!$E$2:$G$82,2,FALSE)</f>
        <v>68</v>
      </c>
      <c r="L3" s="39">
        <f>VLOOKUP($J3,'S-Table'!$E$2:$G$82,3,FALSE)</f>
        <v>3.16</v>
      </c>
      <c r="M3" s="34"/>
      <c r="N3" s="5"/>
      <c r="O3" s="39">
        <f t="shared" ref="O3:O13" si="5">F3</f>
        <v>2</v>
      </c>
      <c r="P3" s="39">
        <f t="shared" si="0"/>
        <v>25</v>
      </c>
      <c r="Q3" s="109"/>
      <c r="R3" s="108"/>
      <c r="S3" s="106"/>
      <c r="T3" s="106"/>
      <c r="U3" s="106"/>
      <c r="V3" s="5"/>
      <c r="W3" s="109"/>
      <c r="X3" s="109"/>
      <c r="Y3" s="109"/>
      <c r="Z3" s="109"/>
      <c r="AA3" s="109"/>
      <c r="AB3" s="109"/>
      <c r="AC3" s="40" t="str">
        <f>CONCATENATE(W2,X2,Y2,AA6)</f>
        <v>23050080</v>
      </c>
      <c r="AD3" s="40">
        <v>1</v>
      </c>
      <c r="AE3" s="43">
        <f>Z6</f>
        <v>15</v>
      </c>
      <c r="AF3" s="109"/>
      <c r="AG3" s="5"/>
      <c r="AH3" s="108"/>
      <c r="AI3" s="108"/>
      <c r="AJ3" s="108"/>
      <c r="AK3" s="108"/>
      <c r="AL3" s="106"/>
      <c r="AM3" s="106"/>
      <c r="AN3" s="44"/>
      <c r="AO3" s="108"/>
      <c r="AP3" s="108"/>
      <c r="AQ3" s="5"/>
    </row>
    <row r="4" spans="1:43" x14ac:dyDescent="0.25">
      <c r="A4" s="6" t="s">
        <v>29</v>
      </c>
      <c r="B4" s="3">
        <f>Input!F19</f>
        <v>500</v>
      </c>
      <c r="C4" s="19">
        <f>IF(B4&gt;1000,1000,IF(B4&gt;500,500,100))</f>
        <v>100</v>
      </c>
      <c r="D4" s="19">
        <f>IF(B4&lt;=100,100,IF(B4&lt;=500,500,1000))</f>
        <v>500</v>
      </c>
      <c r="E4" s="5"/>
      <c r="F4" s="39">
        <f t="shared" si="1"/>
        <v>2</v>
      </c>
      <c r="G4" s="39">
        <f t="shared" si="2"/>
        <v>25</v>
      </c>
      <c r="H4" s="39">
        <f t="shared" si="3"/>
        <v>100</v>
      </c>
      <c r="I4" s="34">
        <v>20</v>
      </c>
      <c r="J4" s="3" t="str">
        <f t="shared" si="4"/>
        <v>22510020</v>
      </c>
      <c r="K4" s="3">
        <f>VLOOKUP($J4,'S-Table'!$E$2:$G$82,2,FALSE)</f>
        <v>184</v>
      </c>
      <c r="L4" s="39">
        <f>VLOOKUP($J4,'S-Table'!$E$2:$G$82,3,FALSE)</f>
        <v>2.46</v>
      </c>
      <c r="M4" s="34"/>
      <c r="N4" s="5"/>
      <c r="O4" s="39">
        <f t="shared" si="5"/>
        <v>2</v>
      </c>
      <c r="P4" s="39">
        <f t="shared" si="0"/>
        <v>25</v>
      </c>
      <c r="Q4" s="109"/>
      <c r="R4" s="105">
        <f>I3</f>
        <v>15</v>
      </c>
      <c r="S4" s="105">
        <f>((K3-K6)*Q2+(K6*H3-H6*K3))/(H3-H6)</f>
        <v>70</v>
      </c>
      <c r="T4" s="105">
        <f>((L3-L6)*Q2+(L6*H3-H6*L3))/(H3-H6)</f>
        <v>3.1299999999999994</v>
      </c>
      <c r="U4" s="105"/>
      <c r="V4" s="5"/>
      <c r="W4" s="109"/>
      <c r="X4" s="109"/>
      <c r="Y4" s="109"/>
      <c r="Z4" s="109"/>
      <c r="AA4" s="109"/>
      <c r="AB4" s="109"/>
      <c r="AC4" s="40" t="str">
        <f>CONCATENATE(W2,X2,Y2,AA10)</f>
        <v>230500200</v>
      </c>
      <c r="AD4" s="40">
        <v>1</v>
      </c>
      <c r="AE4" s="40">
        <f>Z10</f>
        <v>20</v>
      </c>
      <c r="AF4" s="109"/>
      <c r="AG4" s="5"/>
      <c r="AH4" s="53"/>
      <c r="AI4" s="53"/>
      <c r="AJ4" s="64"/>
      <c r="AK4" s="64"/>
      <c r="AL4" s="64"/>
      <c r="AM4" s="64"/>
      <c r="AN4" s="64"/>
      <c r="AO4" s="64"/>
      <c r="AP4" s="64"/>
      <c r="AQ4" s="5"/>
    </row>
    <row r="5" spans="1:43" x14ac:dyDescent="0.25">
      <c r="A5" s="6" t="s">
        <v>512</v>
      </c>
      <c r="B5" s="3">
        <v>5</v>
      </c>
      <c r="C5" s="19"/>
      <c r="D5" s="19"/>
      <c r="E5" s="5"/>
      <c r="F5" s="39">
        <f t="shared" si="1"/>
        <v>2</v>
      </c>
      <c r="G5" s="39">
        <f>$C$3</f>
        <v>25</v>
      </c>
      <c r="H5" s="39">
        <f>$D$4</f>
        <v>500</v>
      </c>
      <c r="I5" s="34">
        <v>10</v>
      </c>
      <c r="J5" s="3" t="str">
        <f t="shared" si="4"/>
        <v>22550010</v>
      </c>
      <c r="K5" s="3">
        <f>VLOOKUP($J5,'S-Table'!$E$2:$G$82,2,FALSE)</f>
        <v>53</v>
      </c>
      <c r="L5" s="39">
        <f>VLOOKUP($J5,'S-Table'!$E$2:$G$82,3,FALSE)</f>
        <v>3.36</v>
      </c>
      <c r="M5" s="34"/>
      <c r="N5" s="5"/>
      <c r="O5" s="39">
        <f t="shared" si="5"/>
        <v>2</v>
      </c>
      <c r="P5" s="39">
        <f t="shared" si="0"/>
        <v>25</v>
      </c>
      <c r="Q5" s="109"/>
      <c r="R5" s="108"/>
      <c r="S5" s="106"/>
      <c r="T5" s="106"/>
      <c r="U5" s="106"/>
      <c r="V5" s="5"/>
      <c r="W5" s="109"/>
      <c r="X5" s="109"/>
      <c r="Y5" s="109"/>
      <c r="Z5" s="108"/>
      <c r="AA5" s="108"/>
      <c r="AB5" s="108"/>
      <c r="AC5" s="42"/>
      <c r="AD5" s="42"/>
      <c r="AE5" s="42"/>
      <c r="AF5" s="108"/>
      <c r="AG5" s="5"/>
      <c r="AH5" s="53"/>
      <c r="AI5" s="53"/>
      <c r="AJ5" s="64"/>
      <c r="AK5" s="64"/>
      <c r="AL5" s="64"/>
      <c r="AM5" s="64"/>
      <c r="AN5" s="64"/>
      <c r="AO5" s="66"/>
      <c r="AP5" s="64"/>
      <c r="AQ5" s="5"/>
    </row>
    <row r="6" spans="1:43" x14ac:dyDescent="0.25">
      <c r="A6" s="6" t="s">
        <v>504</v>
      </c>
      <c r="B6" s="3">
        <f>Input!C25</f>
        <v>60</v>
      </c>
      <c r="C6" s="19"/>
      <c r="D6" s="3"/>
      <c r="E6" s="5"/>
      <c r="F6" s="39">
        <f t="shared" si="1"/>
        <v>2</v>
      </c>
      <c r="G6" s="39">
        <f t="shared" si="2"/>
        <v>25</v>
      </c>
      <c r="H6" s="39">
        <f t="shared" ref="H6:H7" si="6">$D$4</f>
        <v>500</v>
      </c>
      <c r="I6" s="34">
        <v>15</v>
      </c>
      <c r="J6" s="3" t="str">
        <f t="shared" si="4"/>
        <v>22550015</v>
      </c>
      <c r="K6" s="3">
        <f>VLOOKUP($J6,'S-Table'!$E$2:$G$82,2,FALSE)</f>
        <v>70</v>
      </c>
      <c r="L6" s="39">
        <f>VLOOKUP($J6,'S-Table'!$E$2:$G$82,3,FALSE)</f>
        <v>3.13</v>
      </c>
      <c r="M6" s="34"/>
      <c r="N6" s="5"/>
      <c r="O6" s="39">
        <f t="shared" si="5"/>
        <v>2</v>
      </c>
      <c r="P6" s="39">
        <f t="shared" si="0"/>
        <v>25</v>
      </c>
      <c r="Q6" s="109"/>
      <c r="R6" s="107">
        <f>I4</f>
        <v>20</v>
      </c>
      <c r="S6" s="105">
        <f>((K4-K7)*Q2+(K7*H4-H7*K4))/(H4-H7)</f>
        <v>186</v>
      </c>
      <c r="T6" s="105">
        <f>((L4-L7)*Q2+(L7*H4-H7*L4))/(H4-H7)</f>
        <v>2.4500000000000002</v>
      </c>
      <c r="U6" s="105"/>
      <c r="V6" s="5"/>
      <c r="W6" s="109"/>
      <c r="X6" s="109"/>
      <c r="Y6" s="109"/>
      <c r="Z6" s="105">
        <f>R4</f>
        <v>15</v>
      </c>
      <c r="AA6" s="107">
        <f>ROUND(((S4-S10)*X2+(S10*P4-P10*S4))/(P4-P10),0)</f>
        <v>80</v>
      </c>
      <c r="AB6" s="107">
        <f>((T4-T10)*X2+(T10*P4-P10*T4))/(P4-P10)</f>
        <v>3.0299999999999976</v>
      </c>
      <c r="AF6" s="107"/>
      <c r="AG6" s="5"/>
      <c r="AH6" s="53"/>
      <c r="AI6" s="53"/>
      <c r="AJ6" s="64"/>
      <c r="AK6" s="64"/>
      <c r="AL6" s="64"/>
      <c r="AM6" s="64"/>
      <c r="AN6" s="64"/>
      <c r="AO6" s="64"/>
      <c r="AP6" s="64"/>
      <c r="AQ6" s="5"/>
    </row>
    <row r="7" spans="1:43" x14ac:dyDescent="0.25">
      <c r="A7" s="49" t="s">
        <v>507</v>
      </c>
      <c r="B7" s="47">
        <v>48</v>
      </c>
      <c r="C7" s="48"/>
      <c r="D7" s="48"/>
      <c r="E7" s="5"/>
      <c r="F7" s="39">
        <f t="shared" si="1"/>
        <v>2</v>
      </c>
      <c r="G7" s="39">
        <f t="shared" si="2"/>
        <v>25</v>
      </c>
      <c r="H7" s="39">
        <f t="shared" si="6"/>
        <v>500</v>
      </c>
      <c r="I7" s="3">
        <v>20</v>
      </c>
      <c r="J7" s="3" t="str">
        <f t="shared" si="4"/>
        <v>22550020</v>
      </c>
      <c r="K7" s="3">
        <f>VLOOKUP($J7,'S-Table'!$E$2:$G$82,2,FALSE)</f>
        <v>186</v>
      </c>
      <c r="L7" s="39">
        <f>VLOOKUP($J7,'S-Table'!$E$2:$G$82,3,FALSE)</f>
        <v>2.4500000000000002</v>
      </c>
      <c r="M7" s="34"/>
      <c r="N7" s="5"/>
      <c r="O7" s="39">
        <f t="shared" si="5"/>
        <v>2</v>
      </c>
      <c r="P7" s="39">
        <f t="shared" si="0"/>
        <v>25</v>
      </c>
      <c r="Q7" s="108"/>
      <c r="R7" s="108"/>
      <c r="S7" s="106"/>
      <c r="T7" s="106"/>
      <c r="U7" s="106"/>
      <c r="V7" s="5"/>
      <c r="W7" s="109"/>
      <c r="X7" s="109"/>
      <c r="Y7" s="109"/>
      <c r="Z7" s="109"/>
      <c r="AA7" s="109"/>
      <c r="AB7" s="109"/>
      <c r="AC7" s="41"/>
      <c r="AD7" s="41"/>
      <c r="AE7" s="41"/>
      <c r="AF7" s="109"/>
      <c r="AG7" s="5"/>
      <c r="AH7" s="53"/>
      <c r="AI7" s="53"/>
      <c r="AJ7" s="64"/>
      <c r="AK7" s="64"/>
      <c r="AL7" s="64"/>
      <c r="AM7" s="64"/>
      <c r="AN7" s="64"/>
      <c r="AO7" s="64"/>
      <c r="AP7" s="64"/>
      <c r="AQ7" s="5"/>
    </row>
    <row r="8" spans="1:43" x14ac:dyDescent="0.25">
      <c r="A8" s="58" t="s">
        <v>508</v>
      </c>
      <c r="B8" s="59">
        <f>ROUND(29.379/(1+(603*(B7^-1.3054))),0)</f>
        <v>6</v>
      </c>
      <c r="C8" s="60"/>
      <c r="D8" s="60"/>
      <c r="E8" s="5"/>
      <c r="F8" s="39">
        <f t="shared" si="1"/>
        <v>2</v>
      </c>
      <c r="G8" s="39">
        <f>$D$3</f>
        <v>30</v>
      </c>
      <c r="H8" s="39">
        <f>$C$4</f>
        <v>100</v>
      </c>
      <c r="I8" s="39">
        <v>10</v>
      </c>
      <c r="J8" s="3" t="str">
        <f t="shared" si="4"/>
        <v>23010010</v>
      </c>
      <c r="K8" s="3">
        <f>VLOOKUP($J8,'S-Table'!$E$2:$G$82,2,FALSE)</f>
        <v>58</v>
      </c>
      <c r="L8" s="39">
        <f>VLOOKUP($J8,'S-Table'!$E$2:$G$82,3,FALSE)</f>
        <v>3.28</v>
      </c>
      <c r="M8" s="34"/>
      <c r="N8" s="5"/>
      <c r="O8" s="39">
        <f t="shared" si="5"/>
        <v>2</v>
      </c>
      <c r="P8" s="39">
        <f t="shared" si="0"/>
        <v>30</v>
      </c>
      <c r="Q8" s="105">
        <f>B4</f>
        <v>500</v>
      </c>
      <c r="R8" s="107">
        <f>I2</f>
        <v>10</v>
      </c>
      <c r="S8" s="105">
        <f>((K8-K11)*Q8+(K11*H8-H11*K8))/(H8-H11)</f>
        <v>60</v>
      </c>
      <c r="T8" s="105">
        <f>((L8-L11)*Q8+(L11*H8-H11*L8))/(H8-H11)</f>
        <v>3.26</v>
      </c>
      <c r="U8" s="105"/>
      <c r="V8" s="5"/>
      <c r="W8" s="109"/>
      <c r="X8" s="109"/>
      <c r="Y8" s="109"/>
      <c r="Z8" s="109"/>
      <c r="AA8" s="109"/>
      <c r="AB8" s="109"/>
      <c r="AC8" s="41"/>
      <c r="AD8" s="41"/>
      <c r="AE8" s="41"/>
      <c r="AF8" s="109"/>
      <c r="AG8" s="5"/>
      <c r="AH8" s="53"/>
      <c r="AI8" s="53"/>
      <c r="AJ8" s="64"/>
      <c r="AK8" s="64"/>
      <c r="AL8" s="64"/>
      <c r="AM8" s="64"/>
      <c r="AN8" s="64"/>
      <c r="AO8" s="64"/>
      <c r="AP8" s="64"/>
      <c r="AQ8" s="5"/>
    </row>
    <row r="9" spans="1:43" x14ac:dyDescent="0.25">
      <c r="A9" s="58" t="s">
        <v>506</v>
      </c>
      <c r="B9" s="61">
        <f>ROUND(Stress!$B$5/(($B$6/48)/225000)^0.25,2)</f>
        <v>102.99</v>
      </c>
      <c r="C9" s="62"/>
      <c r="D9" s="58"/>
      <c r="E9" s="5"/>
      <c r="F9" s="39">
        <f t="shared" si="1"/>
        <v>2</v>
      </c>
      <c r="G9" s="39">
        <f t="shared" ref="G9:G13" si="7">$D$3</f>
        <v>30</v>
      </c>
      <c r="H9" s="39">
        <f t="shared" ref="H9:H10" si="8">$C$4</f>
        <v>100</v>
      </c>
      <c r="I9" s="3">
        <v>15</v>
      </c>
      <c r="J9" s="3" t="str">
        <f t="shared" si="4"/>
        <v>23010015</v>
      </c>
      <c r="K9" s="3">
        <f>VLOOKUP($J9,'S-Table'!$E$2:$G$82,2,FALSE)</f>
        <v>78</v>
      </c>
      <c r="L9" s="39">
        <f>VLOOKUP($J9,'S-Table'!$E$2:$G$82,3,FALSE)</f>
        <v>3.05</v>
      </c>
      <c r="M9" s="34"/>
      <c r="N9" s="5"/>
      <c r="O9" s="39">
        <f t="shared" si="5"/>
        <v>2</v>
      </c>
      <c r="P9" s="39">
        <f t="shared" si="0"/>
        <v>30</v>
      </c>
      <c r="Q9" s="109"/>
      <c r="R9" s="108"/>
      <c r="S9" s="106"/>
      <c r="T9" s="106"/>
      <c r="U9" s="106"/>
      <c r="V9" s="5"/>
      <c r="W9" s="109"/>
      <c r="X9" s="109"/>
      <c r="Y9" s="109"/>
      <c r="Z9" s="108"/>
      <c r="AA9" s="108"/>
      <c r="AB9" s="108"/>
      <c r="AC9" s="42"/>
      <c r="AD9" s="42"/>
      <c r="AE9" s="42"/>
      <c r="AF9" s="108"/>
      <c r="AG9" s="5"/>
      <c r="AH9" s="53"/>
      <c r="AI9" s="53"/>
      <c r="AJ9" s="64"/>
      <c r="AK9" s="64"/>
      <c r="AL9" s="64"/>
      <c r="AM9" s="64"/>
      <c r="AN9" s="64"/>
      <c r="AO9" s="64"/>
      <c r="AP9" s="64"/>
      <c r="AQ9" s="5"/>
    </row>
    <row r="10" spans="1:43" x14ac:dyDescent="0.25">
      <c r="A10" s="58" t="s">
        <v>513</v>
      </c>
      <c r="B10" s="61">
        <f>Input!F8</f>
        <v>5</v>
      </c>
      <c r="C10" s="67">
        <f>-2*B10+10</f>
        <v>0</v>
      </c>
      <c r="D10" s="58"/>
      <c r="E10" s="5"/>
      <c r="F10" s="39">
        <f t="shared" si="1"/>
        <v>2</v>
      </c>
      <c r="G10" s="39">
        <f t="shared" si="7"/>
        <v>30</v>
      </c>
      <c r="H10" s="39">
        <f t="shared" si="8"/>
        <v>100</v>
      </c>
      <c r="I10" s="39">
        <v>20</v>
      </c>
      <c r="J10" s="3" t="str">
        <f t="shared" si="4"/>
        <v>23010020</v>
      </c>
      <c r="K10" s="3">
        <f>VLOOKUP($J10,'S-Table'!$E$2:$G$82,2,FALSE)</f>
        <v>197</v>
      </c>
      <c r="L10" s="39">
        <f>VLOOKUP($J10,'S-Table'!$E$2:$G$82,3,FALSE)</f>
        <v>2.42</v>
      </c>
      <c r="M10" s="34"/>
      <c r="N10" s="5"/>
      <c r="O10" s="39">
        <f t="shared" si="5"/>
        <v>2</v>
      </c>
      <c r="P10" s="39">
        <f t="shared" si="0"/>
        <v>30</v>
      </c>
      <c r="Q10" s="109"/>
      <c r="R10" s="105">
        <f>I3</f>
        <v>15</v>
      </c>
      <c r="S10" s="105">
        <f>((K9-K12)*Q8+(K12*H9-H12*K9))/(H9-H12)</f>
        <v>80</v>
      </c>
      <c r="T10" s="105">
        <f>((L9-L12)*Q8+(L12*H9-H12*L9))/(H9-H12)</f>
        <v>3.03</v>
      </c>
      <c r="U10" s="105"/>
      <c r="V10" s="5"/>
      <c r="W10" s="109"/>
      <c r="X10" s="109"/>
      <c r="Y10" s="109"/>
      <c r="Z10" s="107">
        <f>R6</f>
        <v>20</v>
      </c>
      <c r="AA10" s="107">
        <f>ROUND(((S6-S12)*X2+(S12*P6-P12*S6))/(P6-P12),0)</f>
        <v>200</v>
      </c>
      <c r="AB10" s="107">
        <f>((T6-T12)*X2+(T12*P6-P12*T6))/(P6-P12)</f>
        <v>2.4099999999999997</v>
      </c>
      <c r="AF10" s="107"/>
      <c r="AG10" s="5"/>
      <c r="AH10" s="53"/>
      <c r="AI10" s="53"/>
      <c r="AJ10" s="64"/>
      <c r="AK10" s="64"/>
      <c r="AL10" s="64"/>
      <c r="AM10" s="65"/>
      <c r="AN10" s="65"/>
      <c r="AO10" s="64"/>
      <c r="AP10" s="64"/>
      <c r="AQ10" s="5"/>
    </row>
    <row r="11" spans="1:43" x14ac:dyDescent="0.25">
      <c r="A11" s="55"/>
      <c r="B11" s="56"/>
      <c r="C11" s="56"/>
      <c r="D11" s="56"/>
      <c r="E11" s="5"/>
      <c r="F11" s="39">
        <f t="shared" si="1"/>
        <v>2</v>
      </c>
      <c r="G11" s="39">
        <f t="shared" si="7"/>
        <v>30</v>
      </c>
      <c r="H11" s="39">
        <f>$D$4</f>
        <v>500</v>
      </c>
      <c r="I11" s="39">
        <v>10</v>
      </c>
      <c r="J11" s="3" t="str">
        <f t="shared" si="4"/>
        <v>23050010</v>
      </c>
      <c r="K11" s="3">
        <f>VLOOKUP($J11,'S-Table'!$E$2:$G$82,2,FALSE)</f>
        <v>60</v>
      </c>
      <c r="L11" s="39">
        <f>VLOOKUP($J11,'S-Table'!$E$2:$G$82,3,FALSE)</f>
        <v>3.26</v>
      </c>
      <c r="M11" s="34"/>
      <c r="N11" s="5"/>
      <c r="O11" s="39">
        <f t="shared" si="5"/>
        <v>2</v>
      </c>
      <c r="P11" s="39">
        <f t="shared" si="0"/>
        <v>30</v>
      </c>
      <c r="Q11" s="109"/>
      <c r="R11" s="108"/>
      <c r="S11" s="106"/>
      <c r="T11" s="106"/>
      <c r="U11" s="106"/>
      <c r="V11" s="5"/>
      <c r="W11" s="109"/>
      <c r="X11" s="109"/>
      <c r="Y11" s="109"/>
      <c r="Z11" s="109"/>
      <c r="AA11" s="109"/>
      <c r="AB11" s="109"/>
      <c r="AC11" s="41"/>
      <c r="AD11" s="41"/>
      <c r="AE11" s="41"/>
      <c r="AF11" s="109"/>
      <c r="AG11" s="5"/>
      <c r="AH11" s="53"/>
      <c r="AI11" s="53"/>
      <c r="AJ11" s="64"/>
      <c r="AK11" s="64"/>
      <c r="AL11" s="64"/>
      <c r="AM11" s="64"/>
      <c r="AN11" s="64"/>
      <c r="AO11" s="64"/>
      <c r="AP11" s="64"/>
      <c r="AQ11" s="5"/>
    </row>
    <row r="12" spans="1:43" x14ac:dyDescent="0.25">
      <c r="A12" s="55"/>
      <c r="B12" s="56"/>
      <c r="C12" s="56"/>
      <c r="D12" s="56"/>
      <c r="E12" s="5"/>
      <c r="F12" s="39">
        <f t="shared" si="1"/>
        <v>2</v>
      </c>
      <c r="G12" s="39">
        <f t="shared" si="7"/>
        <v>30</v>
      </c>
      <c r="H12" s="39">
        <f t="shared" ref="H12:H13" si="9">$D$4</f>
        <v>500</v>
      </c>
      <c r="I12" s="39">
        <v>15</v>
      </c>
      <c r="J12" s="3" t="str">
        <f t="shared" si="4"/>
        <v>23050015</v>
      </c>
      <c r="K12" s="3">
        <f>VLOOKUP($J12,'S-Table'!$E$2:$G$82,2,FALSE)</f>
        <v>80</v>
      </c>
      <c r="L12" s="39">
        <f>VLOOKUP($J12,'S-Table'!$E$2:$G$82,3,FALSE)</f>
        <v>3.03</v>
      </c>
      <c r="M12" s="34"/>
      <c r="N12" s="5"/>
      <c r="O12" s="39">
        <f t="shared" si="5"/>
        <v>2</v>
      </c>
      <c r="P12" s="39">
        <f t="shared" si="0"/>
        <v>30</v>
      </c>
      <c r="Q12" s="109"/>
      <c r="R12" s="107">
        <f>I4</f>
        <v>20</v>
      </c>
      <c r="S12" s="105">
        <f>((K10-K13)*Q8+(K13*H10-H13*K10))/(H10-H13)</f>
        <v>200</v>
      </c>
      <c r="T12" s="105">
        <f>((L10-L13)*Q8+(L13*H10-H13*L10))/(H10-H13)</f>
        <v>2.41</v>
      </c>
      <c r="U12" s="105"/>
      <c r="V12" s="5"/>
      <c r="W12" s="109"/>
      <c r="X12" s="109"/>
      <c r="Y12" s="109"/>
      <c r="Z12" s="109"/>
      <c r="AA12" s="109"/>
      <c r="AB12" s="109"/>
      <c r="AC12" s="41"/>
      <c r="AD12" s="41"/>
      <c r="AE12" s="41"/>
      <c r="AF12" s="109"/>
      <c r="AG12" s="5"/>
      <c r="AH12" s="53"/>
      <c r="AI12" s="53"/>
      <c r="AJ12" s="64"/>
      <c r="AK12" s="64"/>
      <c r="AL12" s="64"/>
      <c r="AM12" s="64"/>
      <c r="AN12" s="64"/>
      <c r="AO12" s="64"/>
      <c r="AP12" s="64"/>
      <c r="AQ12" s="5"/>
    </row>
    <row r="13" spans="1:43" x14ac:dyDescent="0.25">
      <c r="A13" s="55"/>
      <c r="B13" s="56"/>
      <c r="C13" s="56"/>
      <c r="D13" s="56"/>
      <c r="E13" s="5"/>
      <c r="F13" s="39">
        <f t="shared" si="1"/>
        <v>2</v>
      </c>
      <c r="G13" s="39">
        <f t="shared" si="7"/>
        <v>30</v>
      </c>
      <c r="H13" s="39">
        <f t="shared" si="9"/>
        <v>500</v>
      </c>
      <c r="I13" s="3">
        <v>20</v>
      </c>
      <c r="J13" s="3" t="str">
        <f t="shared" si="4"/>
        <v>23050020</v>
      </c>
      <c r="K13" s="3">
        <f>VLOOKUP($J13,'S-Table'!$E$2:$G$82,2,FALSE)</f>
        <v>200</v>
      </c>
      <c r="L13" s="39">
        <f>VLOOKUP($J13,'S-Table'!$E$2:$G$82,3,FALSE)</f>
        <v>2.41</v>
      </c>
      <c r="M13" s="39"/>
      <c r="N13" s="5"/>
      <c r="O13" s="39">
        <f t="shared" si="5"/>
        <v>2</v>
      </c>
      <c r="P13" s="39">
        <f t="shared" si="0"/>
        <v>30</v>
      </c>
      <c r="Q13" s="108"/>
      <c r="R13" s="108"/>
      <c r="S13" s="106"/>
      <c r="T13" s="106"/>
      <c r="U13" s="106"/>
      <c r="V13" s="5"/>
      <c r="W13" s="108"/>
      <c r="X13" s="108"/>
      <c r="Y13" s="108"/>
      <c r="Z13" s="108"/>
      <c r="AA13" s="108"/>
      <c r="AB13" s="108"/>
      <c r="AC13" s="42"/>
      <c r="AD13" s="42"/>
      <c r="AE13" s="42"/>
      <c r="AF13" s="108"/>
      <c r="AG13" s="5"/>
      <c r="AH13" s="53"/>
      <c r="AI13" s="53"/>
      <c r="AJ13" s="64"/>
      <c r="AK13" s="64"/>
      <c r="AL13" s="64"/>
      <c r="AM13" s="64"/>
      <c r="AN13" s="64"/>
      <c r="AO13" s="64"/>
      <c r="AP13" s="64"/>
      <c r="AQ13" s="5"/>
    </row>
    <row r="14" spans="1:43" x14ac:dyDescent="0.25">
      <c r="A14" s="55"/>
      <c r="B14" s="56"/>
      <c r="C14" s="56"/>
      <c r="D14" s="57"/>
      <c r="E14" s="5"/>
      <c r="F14" s="53"/>
      <c r="G14" s="53"/>
      <c r="H14" s="53"/>
      <c r="I14" s="53"/>
      <c r="J14" s="52"/>
      <c r="K14" s="52"/>
      <c r="L14" s="53"/>
      <c r="M14" s="53"/>
      <c r="N14" s="5"/>
      <c r="V14" s="5"/>
      <c r="AG14" s="5"/>
      <c r="AH14" s="53"/>
      <c r="AI14" s="53"/>
      <c r="AJ14" s="64"/>
      <c r="AK14" s="64"/>
      <c r="AL14" s="64"/>
      <c r="AM14" s="64"/>
      <c r="AN14" s="64"/>
      <c r="AO14" s="64"/>
      <c r="AP14" s="64"/>
      <c r="AQ14" s="5"/>
    </row>
    <row r="15" spans="1:43" x14ac:dyDescent="0.25">
      <c r="A15" s="54"/>
      <c r="B15" s="54"/>
      <c r="C15" s="54"/>
      <c r="D15" s="54"/>
      <c r="E15" s="5"/>
      <c r="F15" s="53"/>
      <c r="G15" s="53"/>
      <c r="H15" s="53"/>
      <c r="I15" s="52"/>
      <c r="J15" s="53"/>
      <c r="K15" s="52"/>
      <c r="L15" s="53"/>
      <c r="M15" s="53"/>
      <c r="N15" s="5"/>
      <c r="V15" s="5"/>
      <c r="W15">
        <f>Z2</f>
        <v>10</v>
      </c>
      <c r="X15">
        <f>AA2</f>
        <v>60</v>
      </c>
      <c r="Y15">
        <f>AB2</f>
        <v>3.2599999999999989</v>
      </c>
      <c r="Z15">
        <f>LN(X15)</f>
        <v>4.0943445622221004</v>
      </c>
      <c r="AG15" s="5"/>
      <c r="AH15" s="53"/>
      <c r="AI15" s="53"/>
      <c r="AJ15" s="64"/>
      <c r="AK15" s="64"/>
      <c r="AL15" s="64"/>
      <c r="AM15" s="64"/>
      <c r="AN15" s="64"/>
      <c r="AO15" s="64"/>
      <c r="AP15" s="64"/>
      <c r="AQ15" s="5"/>
    </row>
    <row r="16" spans="1:43" x14ac:dyDescent="0.25">
      <c r="A16" s="5"/>
      <c r="B16" s="5"/>
      <c r="C16" s="5"/>
      <c r="D16" s="5"/>
      <c r="E16" s="5"/>
      <c r="F16" s="53"/>
      <c r="G16" s="53"/>
      <c r="H16" s="53"/>
      <c r="I16" s="53"/>
      <c r="J16" s="52"/>
      <c r="K16" s="52"/>
      <c r="L16" s="53"/>
      <c r="M16" s="53"/>
      <c r="N16" s="5"/>
      <c r="V16" s="5"/>
      <c r="W16" s="63">
        <f>Z6</f>
        <v>15</v>
      </c>
      <c r="X16">
        <f>AA6</f>
        <v>80</v>
      </c>
      <c r="Y16">
        <f>AB6</f>
        <v>3.0299999999999976</v>
      </c>
      <c r="Z16">
        <f t="shared" ref="Z16:Z17" si="10">LN(X16)</f>
        <v>4.3820266346738812</v>
      </c>
      <c r="AG16" s="5"/>
      <c r="AH16" s="53"/>
      <c r="AI16" s="53"/>
      <c r="AJ16" s="64"/>
      <c r="AK16" s="64"/>
      <c r="AL16" s="64"/>
      <c r="AM16" s="64"/>
      <c r="AN16" s="64"/>
      <c r="AO16" s="64"/>
      <c r="AP16" s="64"/>
      <c r="AQ16" s="5"/>
    </row>
    <row r="17" spans="1:43" x14ac:dyDescent="0.25">
      <c r="A17" s="104" t="s">
        <v>500</v>
      </c>
      <c r="B17" s="104"/>
      <c r="C17" s="104"/>
      <c r="D17" s="104"/>
      <c r="E17" s="5"/>
      <c r="F17" s="53"/>
      <c r="G17" s="53"/>
      <c r="H17" s="53"/>
      <c r="I17" s="53"/>
      <c r="J17" s="53"/>
      <c r="K17" s="52"/>
      <c r="L17" s="53"/>
      <c r="M17" s="53"/>
      <c r="N17" s="5"/>
      <c r="V17" s="5"/>
      <c r="W17">
        <f>Z10</f>
        <v>20</v>
      </c>
      <c r="X17">
        <f>AA10</f>
        <v>200</v>
      </c>
      <c r="Y17">
        <f>AB10</f>
        <v>2.4099999999999997</v>
      </c>
      <c r="Z17">
        <f t="shared" si="10"/>
        <v>5.2983173665480363</v>
      </c>
      <c r="AG17" s="5"/>
      <c r="AH17" s="53"/>
      <c r="AI17" s="53"/>
      <c r="AJ17" s="64"/>
      <c r="AK17" s="64"/>
      <c r="AL17" s="64"/>
      <c r="AM17" s="64"/>
      <c r="AN17" s="64"/>
      <c r="AO17" s="64"/>
      <c r="AP17" s="64"/>
      <c r="AQ17" s="5"/>
    </row>
    <row r="18" spans="1:43" x14ac:dyDescent="0.25">
      <c r="A18" s="104"/>
      <c r="B18" s="104"/>
      <c r="C18" s="104"/>
      <c r="D18" s="104"/>
      <c r="E18" s="5"/>
      <c r="F18" s="53"/>
      <c r="G18" s="53"/>
      <c r="H18" s="53"/>
      <c r="I18" s="53"/>
      <c r="J18" s="52"/>
      <c r="K18" s="52"/>
      <c r="L18" s="53"/>
      <c r="M18" s="53"/>
      <c r="N18" s="5"/>
      <c r="V18" s="5"/>
      <c r="AG18" s="5"/>
      <c r="AH18" s="53"/>
      <c r="AI18" s="53"/>
      <c r="AJ18" s="64"/>
      <c r="AK18" s="64"/>
      <c r="AL18" s="64"/>
      <c r="AM18" s="65"/>
      <c r="AN18" s="65"/>
      <c r="AO18" s="64"/>
      <c r="AP18" s="64"/>
      <c r="AQ18" s="5"/>
    </row>
    <row r="19" spans="1:43" x14ac:dyDescent="0.25">
      <c r="A19" s="104"/>
      <c r="B19" s="104"/>
      <c r="C19" s="104"/>
      <c r="D19" s="104"/>
      <c r="E19" s="5"/>
      <c r="F19" s="53"/>
      <c r="G19" s="53"/>
      <c r="H19" s="53"/>
      <c r="I19" s="52"/>
      <c r="J19" s="53"/>
      <c r="K19" s="52"/>
      <c r="L19" s="53"/>
      <c r="M19" s="53"/>
      <c r="N19" s="5"/>
      <c r="V19" s="5"/>
      <c r="AG19" s="5"/>
      <c r="AH19" s="53"/>
      <c r="AI19" s="53"/>
      <c r="AJ19" s="64"/>
      <c r="AK19" s="64"/>
      <c r="AL19" s="64"/>
      <c r="AM19" s="64"/>
      <c r="AN19" s="64"/>
      <c r="AO19" s="64"/>
      <c r="AP19" s="64"/>
      <c r="AQ19" s="5"/>
    </row>
    <row r="20" spans="1:43" x14ac:dyDescent="0.25">
      <c r="A20" s="104"/>
      <c r="B20" s="104"/>
      <c r="C20" s="104"/>
      <c r="D20" s="104"/>
      <c r="E20" s="5"/>
      <c r="F20" s="53"/>
      <c r="G20" s="53"/>
      <c r="H20" s="53"/>
      <c r="I20" s="53"/>
      <c r="J20" s="52"/>
      <c r="K20" s="52"/>
      <c r="L20" s="53"/>
      <c r="M20" s="53"/>
      <c r="N20" s="5"/>
      <c r="V20" s="5"/>
      <c r="AG20" s="5"/>
      <c r="AH20" s="53"/>
      <c r="AI20" s="53"/>
      <c r="AJ20" s="64"/>
      <c r="AK20" s="64"/>
      <c r="AL20" s="64"/>
      <c r="AM20" s="64"/>
      <c r="AN20" s="64"/>
      <c r="AO20" s="64"/>
      <c r="AP20" s="64"/>
      <c r="AQ20" s="5"/>
    </row>
    <row r="21" spans="1:43" x14ac:dyDescent="0.25">
      <c r="A21" s="104"/>
      <c r="B21" s="104"/>
      <c r="C21" s="104"/>
      <c r="D21" s="104"/>
      <c r="E21" s="5"/>
      <c r="F21" s="53"/>
      <c r="G21" s="53"/>
      <c r="H21" s="53"/>
      <c r="I21" s="53"/>
      <c r="J21" s="53"/>
      <c r="K21" s="52"/>
      <c r="L21" s="53"/>
      <c r="M21" s="53"/>
      <c r="N21" s="5"/>
      <c r="V21" s="5"/>
      <c r="AG21" s="5"/>
      <c r="AH21" s="53"/>
      <c r="AI21" s="53"/>
      <c r="AJ21" s="64"/>
      <c r="AK21" s="64"/>
      <c r="AL21" s="64"/>
      <c r="AM21" s="64"/>
      <c r="AN21" s="64"/>
      <c r="AO21" s="64"/>
      <c r="AP21" s="64"/>
      <c r="AQ21" s="5"/>
    </row>
    <row r="22" spans="1:43" x14ac:dyDescent="0.25">
      <c r="A22" s="104"/>
      <c r="B22" s="104"/>
      <c r="C22" s="104"/>
      <c r="D22" s="104"/>
      <c r="E22" s="5"/>
      <c r="F22" s="53"/>
      <c r="G22" s="53"/>
      <c r="H22" s="53"/>
      <c r="I22" s="53"/>
      <c r="J22" s="52"/>
      <c r="K22" s="52"/>
      <c r="L22" s="53"/>
      <c r="M22" s="53"/>
      <c r="N22" s="5"/>
      <c r="V22" s="5"/>
      <c r="AG22" s="5"/>
      <c r="AH22" s="53"/>
      <c r="AI22" s="53"/>
      <c r="AJ22" s="64"/>
      <c r="AK22" s="64"/>
      <c r="AL22" s="64"/>
      <c r="AM22" s="64"/>
      <c r="AN22" s="64"/>
      <c r="AO22" s="64"/>
      <c r="AP22" s="64"/>
      <c r="AQ22" s="5"/>
    </row>
    <row r="23" spans="1:43" x14ac:dyDescent="0.25">
      <c r="A23" s="5"/>
      <c r="B23" s="5"/>
      <c r="C23" s="5"/>
      <c r="D23" s="5"/>
      <c r="E23" s="5"/>
      <c r="F23" s="53"/>
      <c r="G23" s="53"/>
      <c r="H23" s="53"/>
      <c r="I23" s="52"/>
      <c r="J23" s="53"/>
      <c r="K23" s="52"/>
      <c r="L23" s="53"/>
      <c r="M23" s="53"/>
      <c r="N23" s="5"/>
      <c r="V23" s="5"/>
      <c r="AG23" s="5"/>
      <c r="AH23" s="53"/>
      <c r="AI23" s="53"/>
      <c r="AJ23" s="64"/>
      <c r="AK23" s="64"/>
      <c r="AL23" s="64"/>
      <c r="AM23" s="64"/>
      <c r="AN23" s="64"/>
      <c r="AO23" s="64"/>
      <c r="AP23" s="64"/>
      <c r="AQ23" s="5"/>
    </row>
    <row r="24" spans="1:43" x14ac:dyDescent="0.25">
      <c r="A24" s="5"/>
      <c r="B24" s="5"/>
      <c r="C24" s="5"/>
      <c r="D24" s="5"/>
      <c r="E24" s="5"/>
      <c r="F24" s="53"/>
      <c r="G24" s="53"/>
      <c r="H24" s="53"/>
      <c r="I24" s="53"/>
      <c r="J24" s="52"/>
      <c r="K24" s="52"/>
      <c r="L24" s="53"/>
      <c r="M24" s="53"/>
      <c r="N24" s="5"/>
      <c r="V24" s="5"/>
      <c r="AG24" s="5"/>
      <c r="AH24" s="53"/>
      <c r="AI24" s="53"/>
      <c r="AJ24" s="64"/>
      <c r="AK24" s="64"/>
      <c r="AL24" s="64"/>
      <c r="AM24" s="64"/>
      <c r="AN24" s="64"/>
      <c r="AO24" s="64"/>
      <c r="AP24" s="64"/>
      <c r="AQ24" s="5"/>
    </row>
    <row r="25" spans="1:43" x14ac:dyDescent="0.25">
      <c r="A25" s="5"/>
      <c r="B25" s="5"/>
      <c r="C25" s="5"/>
      <c r="D25" s="5"/>
      <c r="E25" s="5"/>
      <c r="F25" s="53"/>
      <c r="G25" s="53"/>
      <c r="H25" s="53"/>
      <c r="I25" s="53"/>
      <c r="J25" s="53"/>
      <c r="K25" s="52"/>
      <c r="L25" s="53"/>
      <c r="M25" s="53"/>
      <c r="N25" s="5"/>
      <c r="V25" s="5"/>
      <c r="AG25" s="5"/>
      <c r="AH25" s="53"/>
      <c r="AI25" s="53"/>
      <c r="AJ25" s="64"/>
      <c r="AK25" s="64"/>
      <c r="AL25" s="64"/>
      <c r="AM25" s="64"/>
      <c r="AN25" s="64"/>
      <c r="AO25" s="64"/>
      <c r="AP25" s="64"/>
      <c r="AQ25" s="5"/>
    </row>
    <row r="26" spans="1:43" x14ac:dyDescent="0.25">
      <c r="F26" s="53"/>
      <c r="G26" s="53"/>
      <c r="H26" s="53"/>
      <c r="I26" s="53"/>
      <c r="J26" s="52"/>
      <c r="K26" s="52"/>
      <c r="L26" s="53"/>
      <c r="M26" s="53"/>
      <c r="AH26" s="53"/>
      <c r="AI26" s="53"/>
      <c r="AJ26" s="64"/>
      <c r="AK26" s="64"/>
      <c r="AL26" s="64"/>
      <c r="AM26" s="65"/>
      <c r="AN26" s="65"/>
      <c r="AO26" s="64"/>
      <c r="AP26" s="64"/>
    </row>
    <row r="27" spans="1:43" x14ac:dyDescent="0.25">
      <c r="F27" s="53"/>
      <c r="G27" s="53"/>
      <c r="H27" s="53"/>
      <c r="I27" s="52"/>
      <c r="J27" s="53"/>
      <c r="K27" s="52"/>
      <c r="L27" s="53"/>
      <c r="M27" s="53"/>
      <c r="AH27" s="53"/>
      <c r="AI27" s="53"/>
      <c r="AJ27" s="64"/>
      <c r="AK27" s="64"/>
      <c r="AL27" s="64"/>
      <c r="AM27" s="64"/>
      <c r="AN27" s="64"/>
      <c r="AO27" s="64"/>
      <c r="AP27" s="64"/>
    </row>
    <row r="28" spans="1:43" x14ac:dyDescent="0.25">
      <c r="F28" s="53"/>
      <c r="G28" s="53"/>
      <c r="H28" s="53"/>
      <c r="I28" s="53"/>
      <c r="J28" s="52"/>
      <c r="K28" s="52"/>
      <c r="L28" s="53"/>
      <c r="M28" s="53"/>
      <c r="AH28" s="53"/>
      <c r="AI28" s="53"/>
      <c r="AJ28" s="64"/>
      <c r="AK28" s="64"/>
      <c r="AL28" s="64"/>
      <c r="AM28" s="64"/>
      <c r="AN28" s="64"/>
      <c r="AO28" s="64"/>
      <c r="AP28" s="64"/>
    </row>
    <row r="29" spans="1:43" x14ac:dyDescent="0.25">
      <c r="F29" s="53"/>
      <c r="G29" s="53"/>
      <c r="H29" s="53"/>
      <c r="I29" s="53"/>
      <c r="J29" s="53"/>
      <c r="K29" s="52"/>
      <c r="L29" s="53"/>
      <c r="M29" s="53"/>
      <c r="AH29" s="53"/>
      <c r="AI29" s="53"/>
      <c r="AJ29" s="64"/>
      <c r="AK29" s="64"/>
      <c r="AL29" s="64"/>
      <c r="AM29" s="64"/>
      <c r="AN29" s="64"/>
      <c r="AO29" s="64"/>
      <c r="AP29" s="64"/>
    </row>
    <row r="30" spans="1:43" x14ac:dyDescent="0.25">
      <c r="F30" s="53"/>
      <c r="G30" s="53"/>
      <c r="H30" s="53"/>
      <c r="I30" s="53"/>
      <c r="J30" s="52"/>
      <c r="K30" s="52"/>
      <c r="L30" s="53"/>
      <c r="M30" s="53"/>
      <c r="AH30" s="53"/>
      <c r="AI30" s="53"/>
      <c r="AJ30" s="64"/>
      <c r="AK30" s="64"/>
      <c r="AL30" s="64"/>
      <c r="AM30" s="64"/>
      <c r="AN30" s="64"/>
      <c r="AO30" s="64"/>
      <c r="AP30" s="64"/>
    </row>
    <row r="31" spans="1:43" x14ac:dyDescent="0.25">
      <c r="F31" s="53"/>
      <c r="G31" s="53"/>
      <c r="H31" s="53"/>
      <c r="I31" s="52"/>
      <c r="J31" s="53"/>
      <c r="K31" s="52"/>
      <c r="L31" s="53"/>
      <c r="M31" s="53"/>
      <c r="AH31" s="53"/>
      <c r="AI31" s="53"/>
      <c r="AJ31" s="64"/>
      <c r="AK31" s="64"/>
      <c r="AL31" s="64"/>
      <c r="AM31" s="64"/>
      <c r="AN31" s="64"/>
      <c r="AO31" s="64"/>
      <c r="AP31" s="64"/>
    </row>
    <row r="32" spans="1:43" x14ac:dyDescent="0.25">
      <c r="F32" s="53"/>
      <c r="G32" s="53"/>
      <c r="H32" s="53"/>
      <c r="I32" s="53"/>
      <c r="J32" s="52"/>
      <c r="K32" s="52"/>
      <c r="L32" s="53"/>
      <c r="M32" s="53"/>
      <c r="AH32" s="53"/>
      <c r="AI32" s="53"/>
      <c r="AJ32" s="64"/>
      <c r="AK32" s="64"/>
      <c r="AL32" s="64"/>
      <c r="AM32" s="64"/>
      <c r="AN32" s="64"/>
      <c r="AO32" s="64"/>
      <c r="AP32" s="64"/>
    </row>
    <row r="33" spans="6:42" x14ac:dyDescent="0.25">
      <c r="F33" s="53"/>
      <c r="G33" s="53"/>
      <c r="H33" s="53"/>
      <c r="I33" s="53"/>
      <c r="J33" s="53"/>
      <c r="K33" s="52"/>
      <c r="L33" s="53"/>
      <c r="M33" s="53"/>
      <c r="AH33" s="53"/>
      <c r="AI33" s="53"/>
      <c r="AJ33" s="64"/>
      <c r="AK33" s="64"/>
      <c r="AL33" s="64"/>
      <c r="AM33" s="64"/>
      <c r="AN33" s="64"/>
      <c r="AO33" s="64"/>
      <c r="AP33" s="64"/>
    </row>
  </sheetData>
  <sheetProtection algorithmName="SHA-512" hashValue="v+5khAV/tQRWFRZ/hjlTBJM1QTE90qZ+v6sVziY7Qoshqve9XJAsinwBjjVxkzMvoDkdRGRhNqMvPr13qexfyA==" saltValue="nfNXKJhHiRr61pZJ68HokQ==" spinCount="100000" sheet="1" objects="1" scenarios="1"/>
  <mergeCells count="50">
    <mergeCell ref="W2:W13"/>
    <mergeCell ref="AH2:AH3"/>
    <mergeCell ref="AI2:AI3"/>
    <mergeCell ref="AJ2:AJ3"/>
    <mergeCell ref="AM2:AM3"/>
    <mergeCell ref="AA6:AA9"/>
    <mergeCell ref="AB6:AB9"/>
    <mergeCell ref="AF6:AF9"/>
    <mergeCell ref="AA10:AA13"/>
    <mergeCell ref="AB10:AB13"/>
    <mergeCell ref="AF10:AF13"/>
    <mergeCell ref="Z2:Z5"/>
    <mergeCell ref="Z6:Z9"/>
    <mergeCell ref="Z10:Z13"/>
    <mergeCell ref="AL2:AL3"/>
    <mergeCell ref="AO2:AO3"/>
    <mergeCell ref="AP2:AP3"/>
    <mergeCell ref="AK2:AK3"/>
    <mergeCell ref="Q2:Q7"/>
    <mergeCell ref="Q8:Q13"/>
    <mergeCell ref="R2:R3"/>
    <mergeCell ref="R4:R5"/>
    <mergeCell ref="R6:R7"/>
    <mergeCell ref="R8:R9"/>
    <mergeCell ref="R10:R11"/>
    <mergeCell ref="R12:R13"/>
    <mergeCell ref="Y2:Y13"/>
    <mergeCell ref="X2:X13"/>
    <mergeCell ref="AA2:AA5"/>
    <mergeCell ref="AB2:AB5"/>
    <mergeCell ref="AF2:AF5"/>
    <mergeCell ref="S2:S3"/>
    <mergeCell ref="T2:T3"/>
    <mergeCell ref="U2:U3"/>
    <mergeCell ref="S4:S5"/>
    <mergeCell ref="T4:T5"/>
    <mergeCell ref="U4:U5"/>
    <mergeCell ref="A17:D22"/>
    <mergeCell ref="S6:S7"/>
    <mergeCell ref="T6:T7"/>
    <mergeCell ref="U6:U7"/>
    <mergeCell ref="S8:S9"/>
    <mergeCell ref="T8:T9"/>
    <mergeCell ref="U8:U9"/>
    <mergeCell ref="S10:S11"/>
    <mergeCell ref="T10:T11"/>
    <mergeCell ref="U10:U11"/>
    <mergeCell ref="U12:U13"/>
    <mergeCell ref="S12:S13"/>
    <mergeCell ref="T12:T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7" tint="0.59999389629810485"/>
  </sheetPr>
  <dimension ref="A1:F42"/>
  <sheetViews>
    <sheetView topLeftCell="A4" zoomScale="95" zoomScaleNormal="95" workbookViewId="0">
      <selection activeCell="B31" sqref="B31"/>
    </sheetView>
  </sheetViews>
  <sheetFormatPr defaultColWidth="9.109375" defaultRowHeight="13.2" x14ac:dyDescent="0.25"/>
  <cols>
    <col min="1" max="1" width="4.6640625" style="11" customWidth="1"/>
    <col min="2" max="2" width="50.6640625" style="11" customWidth="1"/>
    <col min="3" max="3" width="12.6640625" style="11" customWidth="1"/>
    <col min="4" max="4" width="8.6640625" style="11" customWidth="1"/>
    <col min="5" max="5" width="50.6640625" style="11" customWidth="1"/>
    <col min="6" max="6" width="13.6640625" style="11" customWidth="1"/>
    <col min="7" max="16384" width="9.109375" style="11"/>
  </cols>
  <sheetData>
    <row r="1" spans="1:6" ht="12.75" customHeight="1" x14ac:dyDescent="0.25">
      <c r="A1" s="14"/>
      <c r="B1" s="80"/>
      <c r="C1" s="80"/>
      <c r="D1" s="17"/>
      <c r="E1" s="80"/>
      <c r="F1" s="80"/>
    </row>
    <row r="2" spans="1:6" ht="12.75" customHeight="1" x14ac:dyDescent="0.25">
      <c r="A2" s="14"/>
      <c r="B2" s="80"/>
      <c r="C2" s="80"/>
      <c r="D2" s="17"/>
      <c r="E2" s="80"/>
      <c r="F2" s="80"/>
    </row>
    <row r="3" spans="1:6" ht="12.75" customHeight="1" x14ac:dyDescent="0.25">
      <c r="A3" s="8"/>
      <c r="B3" s="110" t="s">
        <v>96</v>
      </c>
      <c r="C3" s="110"/>
      <c r="E3" s="80"/>
      <c r="F3" s="80"/>
    </row>
    <row r="4" spans="1:6" ht="12.75" customHeight="1" x14ac:dyDescent="0.25">
      <c r="A4" s="14"/>
      <c r="B4" s="80"/>
      <c r="C4" s="80"/>
      <c r="D4" s="17"/>
      <c r="E4" s="80"/>
      <c r="F4" s="80"/>
    </row>
    <row r="5" spans="1:6" ht="12.75" customHeight="1" x14ac:dyDescent="0.25">
      <c r="B5" s="86" t="s">
        <v>88</v>
      </c>
      <c r="C5" s="86"/>
      <c r="D5" s="17"/>
      <c r="E5" s="86" t="s">
        <v>92</v>
      </c>
      <c r="F5" s="86"/>
    </row>
    <row r="6" spans="1:6" ht="12.75" customHeight="1" x14ac:dyDescent="0.25">
      <c r="A6" s="14"/>
      <c r="B6" s="80"/>
      <c r="C6" s="80"/>
      <c r="D6" s="17"/>
      <c r="E6" s="87"/>
      <c r="F6" s="87"/>
    </row>
    <row r="7" spans="1:6" ht="12.75" customHeight="1" x14ac:dyDescent="0.25">
      <c r="A7" s="14"/>
      <c r="B7" s="24" t="s">
        <v>369</v>
      </c>
      <c r="C7" s="30">
        <v>2</v>
      </c>
      <c r="D7" s="17"/>
      <c r="E7" s="24" t="s">
        <v>519</v>
      </c>
      <c r="F7" s="38">
        <v>30</v>
      </c>
    </row>
    <row r="8" spans="1:6" ht="12.75" customHeight="1" x14ac:dyDescent="0.25">
      <c r="A8" s="14"/>
      <c r="B8" s="24" t="s">
        <v>520</v>
      </c>
      <c r="C8" s="30" t="s">
        <v>432</v>
      </c>
      <c r="D8" s="17"/>
      <c r="E8" s="24" t="s">
        <v>355</v>
      </c>
      <c r="F8" s="38">
        <v>5</v>
      </c>
    </row>
    <row r="9" spans="1:6" ht="12.75" customHeight="1" x14ac:dyDescent="0.25">
      <c r="A9" s="14"/>
      <c r="B9" s="24" t="s">
        <v>84</v>
      </c>
      <c r="C9" s="30"/>
      <c r="D9" s="17"/>
      <c r="E9" s="50"/>
      <c r="F9" s="51"/>
    </row>
    <row r="10" spans="1:6" ht="12.75" customHeight="1" x14ac:dyDescent="0.25">
      <c r="A10" s="14"/>
      <c r="B10" s="24" t="s">
        <v>521</v>
      </c>
      <c r="C10" s="30"/>
      <c r="D10" s="17"/>
      <c r="E10" s="80"/>
      <c r="F10" s="80"/>
    </row>
    <row r="11" spans="1:6" ht="12.75" customHeight="1" x14ac:dyDescent="0.25">
      <c r="A11" s="14"/>
      <c r="B11" s="24" t="s">
        <v>85</v>
      </c>
      <c r="C11" s="30"/>
      <c r="D11" s="17"/>
      <c r="E11" s="86" t="s">
        <v>353</v>
      </c>
      <c r="F11" s="86"/>
    </row>
    <row r="12" spans="1:6" ht="12.75" customHeight="1" x14ac:dyDescent="0.25">
      <c r="A12" s="14"/>
      <c r="B12" s="24" t="s">
        <v>86</v>
      </c>
      <c r="C12" s="30"/>
      <c r="D12" s="17"/>
      <c r="E12" s="87"/>
      <c r="F12" s="87"/>
    </row>
    <row r="13" spans="1:6" ht="12.75" customHeight="1" x14ac:dyDescent="0.25">
      <c r="A13" s="14"/>
      <c r="B13" s="24" t="s">
        <v>87</v>
      </c>
      <c r="C13" s="30"/>
      <c r="D13" s="17"/>
      <c r="E13" s="24" t="s">
        <v>93</v>
      </c>
      <c r="F13" s="30" t="s">
        <v>57</v>
      </c>
    </row>
    <row r="14" spans="1:6" ht="12.75" customHeight="1" x14ac:dyDescent="0.25">
      <c r="A14" s="14"/>
      <c r="B14" s="80"/>
      <c r="C14" s="80"/>
      <c r="D14" s="17"/>
      <c r="E14" s="24" t="s">
        <v>94</v>
      </c>
      <c r="F14" s="30" t="s">
        <v>70</v>
      </c>
    </row>
    <row r="15" spans="1:6" ht="12.75" customHeight="1" x14ac:dyDescent="0.25">
      <c r="A15" s="14"/>
      <c r="B15" s="80"/>
      <c r="C15" s="80"/>
      <c r="D15" s="17"/>
      <c r="E15" s="24" t="s">
        <v>95</v>
      </c>
      <c r="F15" s="30" t="s">
        <v>511</v>
      </c>
    </row>
    <row r="16" spans="1:6" ht="12.75" customHeight="1" x14ac:dyDescent="0.25">
      <c r="A16" s="14"/>
      <c r="B16" s="86" t="s">
        <v>89</v>
      </c>
      <c r="C16" s="86"/>
      <c r="D16" s="17"/>
      <c r="E16" s="24" t="s">
        <v>356</v>
      </c>
      <c r="F16" s="30">
        <v>15</v>
      </c>
    </row>
    <row r="17" spans="1:6" ht="12.75" customHeight="1" x14ac:dyDescent="0.25">
      <c r="A17" s="14"/>
      <c r="B17" s="80"/>
      <c r="C17" s="80"/>
      <c r="D17" s="17"/>
      <c r="E17" s="24" t="s">
        <v>357</v>
      </c>
      <c r="F17" s="30">
        <v>6000</v>
      </c>
    </row>
    <row r="18" spans="1:6" ht="12.75" customHeight="1" x14ac:dyDescent="0.25">
      <c r="A18" s="14"/>
      <c r="B18" s="24" t="s">
        <v>90</v>
      </c>
      <c r="C18" s="30">
        <v>20</v>
      </c>
      <c r="D18" s="17"/>
      <c r="E18" s="88"/>
      <c r="F18" s="88"/>
    </row>
    <row r="19" spans="1:6" ht="12.75" customHeight="1" x14ac:dyDescent="0.25">
      <c r="A19" s="14"/>
      <c r="B19" s="24" t="s">
        <v>359</v>
      </c>
      <c r="C19" s="30">
        <v>6</v>
      </c>
      <c r="D19" s="17"/>
      <c r="E19" s="24" t="s">
        <v>358</v>
      </c>
      <c r="F19" s="25">
        <v>500</v>
      </c>
    </row>
    <row r="20" spans="1:6" ht="12.75" customHeight="1" x14ac:dyDescent="0.25">
      <c r="A20" s="14"/>
      <c r="B20" s="80"/>
      <c r="C20" s="80"/>
      <c r="D20" s="17"/>
      <c r="E20" s="89"/>
      <c r="F20" s="89"/>
    </row>
    <row r="21" spans="1:6" ht="12.75" customHeight="1" x14ac:dyDescent="0.25">
      <c r="A21" s="14"/>
      <c r="B21" s="80"/>
      <c r="C21" s="80"/>
      <c r="D21" s="17"/>
      <c r="E21" s="80"/>
      <c r="F21" s="80"/>
    </row>
    <row r="22" spans="1:6" ht="12.75" customHeight="1" x14ac:dyDescent="0.25">
      <c r="A22" s="14"/>
      <c r="B22" s="86" t="s">
        <v>91</v>
      </c>
      <c r="C22" s="86"/>
      <c r="D22" s="17"/>
      <c r="E22" s="80"/>
      <c r="F22" s="80"/>
    </row>
    <row r="23" spans="1:6" ht="12.75" customHeight="1" x14ac:dyDescent="0.25">
      <c r="A23" s="14"/>
      <c r="B23" s="80"/>
      <c r="C23" s="80"/>
      <c r="D23" s="17"/>
      <c r="E23" s="80"/>
      <c r="F23" s="80"/>
    </row>
    <row r="24" spans="1:6" ht="12.75" customHeight="1" x14ac:dyDescent="0.25">
      <c r="A24" s="14"/>
      <c r="B24" s="24" t="s">
        <v>97</v>
      </c>
      <c r="C24" s="31">
        <v>2</v>
      </c>
      <c r="D24" s="17"/>
      <c r="E24" s="80"/>
      <c r="F24" s="80"/>
    </row>
    <row r="25" spans="1:6" ht="12.75" customHeight="1" x14ac:dyDescent="0.25">
      <c r="A25" s="14"/>
      <c r="B25" s="24" t="s">
        <v>351</v>
      </c>
      <c r="C25" s="31">
        <v>60</v>
      </c>
      <c r="D25" s="17"/>
      <c r="E25" s="80"/>
      <c r="F25" s="80"/>
    </row>
    <row r="26" spans="1:6" ht="12.75" customHeight="1" x14ac:dyDescent="0.25">
      <c r="A26" s="14"/>
      <c r="B26" s="80"/>
      <c r="C26" s="80"/>
      <c r="D26" s="17"/>
      <c r="E26" s="80"/>
      <c r="F26" s="80"/>
    </row>
    <row r="27" spans="1:6" ht="12.75" customHeight="1" x14ac:dyDescent="0.25">
      <c r="A27" s="14"/>
      <c r="B27" s="80"/>
      <c r="C27" s="80"/>
      <c r="D27" s="17"/>
      <c r="E27" s="80"/>
      <c r="F27" s="80"/>
    </row>
    <row r="28" spans="1:6" ht="12.75" customHeight="1" x14ac:dyDescent="0.25">
      <c r="A28" s="14"/>
      <c r="B28" s="110" t="s">
        <v>514</v>
      </c>
      <c r="C28" s="110"/>
      <c r="D28" s="17"/>
      <c r="E28" s="80"/>
      <c r="F28" s="80"/>
    </row>
    <row r="29" spans="1:6" ht="12.75" customHeight="1" x14ac:dyDescent="0.25">
      <c r="A29" s="14"/>
      <c r="B29" s="80"/>
      <c r="C29" s="80"/>
      <c r="D29" s="17"/>
      <c r="E29" s="80"/>
      <c r="F29" s="80"/>
    </row>
    <row r="30" spans="1:6" ht="12.75" customHeight="1" x14ac:dyDescent="0.25">
      <c r="A30" s="14"/>
      <c r="B30" s="12" t="s">
        <v>515</v>
      </c>
      <c r="C30" s="68">
        <v>10</v>
      </c>
      <c r="D30" s="17"/>
      <c r="E30" s="80"/>
      <c r="F30" s="80"/>
    </row>
    <row r="31" spans="1:6" ht="12.75" customHeight="1" x14ac:dyDescent="0.25">
      <c r="A31" s="14"/>
      <c r="B31" s="16"/>
      <c r="C31" s="17"/>
      <c r="D31" s="17"/>
      <c r="F31" s="16"/>
    </row>
    <row r="32" spans="1:6" ht="12.75" customHeight="1" x14ac:dyDescent="0.25">
      <c r="A32" s="14"/>
      <c r="B32" s="16"/>
      <c r="C32" s="17"/>
      <c r="D32" s="17"/>
      <c r="F32" s="16"/>
    </row>
    <row r="33" spans="1:6" ht="12.75" customHeight="1" x14ac:dyDescent="0.25">
      <c r="A33" s="14"/>
      <c r="B33" s="16"/>
      <c r="C33" s="17"/>
      <c r="D33" s="17"/>
      <c r="F33" s="16"/>
    </row>
    <row r="34" spans="1:6" x14ac:dyDescent="0.25">
      <c r="A34" s="14"/>
      <c r="B34" s="16"/>
      <c r="C34" s="17"/>
      <c r="D34" s="17"/>
      <c r="F34" s="16"/>
    </row>
    <row r="35" spans="1:6" x14ac:dyDescent="0.25">
      <c r="A35" s="14"/>
      <c r="B35" s="16"/>
      <c r="C35" s="17"/>
      <c r="D35" s="17"/>
      <c r="F35" s="16"/>
    </row>
    <row r="36" spans="1:6" x14ac:dyDescent="0.25">
      <c r="A36" s="14"/>
      <c r="B36" s="16"/>
      <c r="C36" s="17"/>
      <c r="D36" s="17"/>
      <c r="F36" s="16"/>
    </row>
    <row r="37" spans="1:6" x14ac:dyDescent="0.25">
      <c r="A37" s="14"/>
      <c r="B37" s="16"/>
      <c r="C37" s="17"/>
      <c r="D37" s="17"/>
      <c r="F37" s="16"/>
    </row>
    <row r="38" spans="1:6" x14ac:dyDescent="0.25">
      <c r="A38" s="14"/>
      <c r="B38" s="16"/>
      <c r="C38" s="17"/>
      <c r="D38" s="17"/>
      <c r="F38" s="16"/>
    </row>
    <row r="39" spans="1:6" x14ac:dyDescent="0.25">
      <c r="A39" s="14"/>
      <c r="B39" s="16"/>
      <c r="C39" s="17"/>
      <c r="D39" s="17"/>
      <c r="F39" s="16"/>
    </row>
    <row r="40" spans="1:6" x14ac:dyDescent="0.25">
      <c r="A40" s="14"/>
      <c r="B40" s="16"/>
      <c r="C40" s="17"/>
      <c r="D40" s="17"/>
      <c r="F40" s="16"/>
    </row>
    <row r="41" spans="1:6" x14ac:dyDescent="0.25">
      <c r="A41" s="14"/>
      <c r="B41" s="16"/>
      <c r="C41" s="17"/>
      <c r="D41" s="17"/>
      <c r="F41" s="16"/>
    </row>
    <row r="42" spans="1:6" x14ac:dyDescent="0.25">
      <c r="A42" s="14"/>
      <c r="B42" s="16"/>
      <c r="C42" s="17"/>
      <c r="D42" s="17"/>
      <c r="F42" s="16"/>
    </row>
  </sheetData>
  <mergeCells count="39">
    <mergeCell ref="E23:F23"/>
    <mergeCell ref="E24:F24"/>
    <mergeCell ref="E12:F12"/>
    <mergeCell ref="B14:C14"/>
    <mergeCell ref="B15:C15"/>
    <mergeCell ref="B17:C17"/>
    <mergeCell ref="E18:F18"/>
    <mergeCell ref="B20:C20"/>
    <mergeCell ref="E20:F20"/>
    <mergeCell ref="B16:C16"/>
    <mergeCell ref="B22:C22"/>
    <mergeCell ref="E4:F4"/>
    <mergeCell ref="B3:C3"/>
    <mergeCell ref="B21:C21"/>
    <mergeCell ref="E21:F21"/>
    <mergeCell ref="E22:F22"/>
    <mergeCell ref="B5:C5"/>
    <mergeCell ref="E5:F5"/>
    <mergeCell ref="E11:F11"/>
    <mergeCell ref="B6:C6"/>
    <mergeCell ref="E6:F6"/>
    <mergeCell ref="E10:F10"/>
    <mergeCell ref="B2:C2"/>
    <mergeCell ref="B1:C1"/>
    <mergeCell ref="E1:F1"/>
    <mergeCell ref="E2:F2"/>
    <mergeCell ref="E3:F3"/>
    <mergeCell ref="B29:C29"/>
    <mergeCell ref="B27:C27"/>
    <mergeCell ref="B28:C28"/>
    <mergeCell ref="B4:C4"/>
    <mergeCell ref="B23:C23"/>
    <mergeCell ref="B26:C26"/>
    <mergeCell ref="E25:F25"/>
    <mergeCell ref="E27:F27"/>
    <mergeCell ref="E28:F28"/>
    <mergeCell ref="E29:F29"/>
    <mergeCell ref="E30:F30"/>
    <mergeCell ref="E26:F26"/>
  </mergeCells>
  <phoneticPr fontId="27" type="noConversion"/>
  <dataValidations count="4">
    <dataValidation type="decimal" allowBlank="1" showInputMessage="1" showErrorMessage="1" errorTitle="Modulus of Base Layer" error="Out of Range – Please Enter a Value between 50 and 2000." prompt="STOP!_x000a__x000a_Use button to return to Input Worksheet." sqref="F17" xr:uid="{00000000-0002-0000-0800-000000000000}">
      <formula1>50</formula1>
      <formula2>2000</formula2>
    </dataValidation>
    <dataValidation type="decimal" allowBlank="1" showInputMessage="1" showErrorMessage="1" errorTitle="Base Thickness" error="Out of Range – Please Enter a Value between 2 and 6." prompt="STOP!_x000a__x000a_Use button to return to Input Worksheet." sqref="F16" xr:uid="{00000000-0002-0000-0800-000001000000}">
      <formula1>2</formula1>
      <formula2>6</formula2>
    </dataValidation>
    <dataValidation type="decimal" allowBlank="1" showInputMessage="1" showErrorMessage="1" errorTitle="Thickness of Concrete Layer" error="Out of Range - Please Enter a Value between 6 and 16." prompt="STOP!_x000a__x000a_Use button to return to Input Worksheet." sqref="F7" xr:uid="{00000000-0002-0000-0800-000002000000}">
      <formula1>6</formula1>
      <formula2>16</formula2>
    </dataValidation>
    <dataValidation allowBlank="1" showInputMessage="1" showErrorMessage="1" prompt="STOP!_x000a__x000a_Use button to return to Input Worksheet." sqref="C18 C19 C24 C25 F8 F13 F14 F15 F19" xr:uid="{00000000-0002-0000-0800-000003000000}"/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locked="0" defaultSize="0" print="0" autoFill="0" autoPict="0" macro="[0]!ReturnToInput">
                <anchor moveWithCells="1" sizeWithCells="1">
                  <from>
                    <xdr:col>4</xdr:col>
                    <xdr:colOff>0</xdr:colOff>
                    <xdr:row>20</xdr:row>
                    <xdr:rowOff>160020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29</vt:i4>
      </vt:variant>
    </vt:vector>
  </HeadingPairs>
  <TitlesOfParts>
    <vt:vector size="36" baseType="lpstr">
      <vt:lpstr>Input</vt:lpstr>
      <vt:lpstr>Temperature</vt:lpstr>
      <vt:lpstr>Soil Classification</vt:lpstr>
      <vt:lpstr>Composite K</vt:lpstr>
      <vt:lpstr>S-Table</vt:lpstr>
      <vt:lpstr>Stress</vt:lpstr>
      <vt:lpstr>Final Result</vt:lpstr>
      <vt:lpstr>AASHTO</vt:lpstr>
      <vt:lpstr>ABL</vt:lpstr>
      <vt:lpstr>AMA</vt:lpstr>
      <vt:lpstr>ATL</vt:lpstr>
      <vt:lpstr>AUS</vt:lpstr>
      <vt:lpstr>BMT</vt:lpstr>
      <vt:lpstr>BRY</vt:lpstr>
      <vt:lpstr>BWD</vt:lpstr>
      <vt:lpstr>CHS</vt:lpstr>
      <vt:lpstr>Classification</vt:lpstr>
      <vt:lpstr>CRP</vt:lpstr>
      <vt:lpstr>DAL</vt:lpstr>
      <vt:lpstr>District</vt:lpstr>
      <vt:lpstr>ELP</vt:lpstr>
      <vt:lpstr>FTW</vt:lpstr>
      <vt:lpstr>HOU</vt:lpstr>
      <vt:lpstr>LBB</vt:lpstr>
      <vt:lpstr>LFK</vt:lpstr>
      <vt:lpstr>LRD</vt:lpstr>
      <vt:lpstr>ODA</vt:lpstr>
      <vt:lpstr>PAR</vt:lpstr>
      <vt:lpstr>PHR</vt:lpstr>
      <vt:lpstr>SAT</vt:lpstr>
      <vt:lpstr>SJT</vt:lpstr>
      <vt:lpstr>TYL</vt:lpstr>
      <vt:lpstr>USCS</vt:lpstr>
      <vt:lpstr>WAC</vt:lpstr>
      <vt:lpstr>WFS</vt:lpstr>
      <vt:lpstr>YKM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TxCRCP-ME</dc:title>
  <dc:subject>Based on Mechanistic - Empirical Principles</dc:subject>
  <dc:creator>TxDOT</dc:creator>
  <cp:lastModifiedBy>Nguyen, Ngan V T</cp:lastModifiedBy>
  <cp:lastPrinted>2012-03-08T21:38:59Z</cp:lastPrinted>
  <dcterms:created xsi:type="dcterms:W3CDTF">2010-03-11T21:04:44Z</dcterms:created>
  <dcterms:modified xsi:type="dcterms:W3CDTF">2021-10-26T07:46:09Z</dcterms:modified>
</cp:coreProperties>
</file>