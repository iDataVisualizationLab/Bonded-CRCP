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JH Nam\UTCRCP\Program\"/>
    </mc:Choice>
  </mc:AlternateContent>
  <xr:revisionPtr revIDLastSave="0" documentId="8_{C88D7EEA-B579-4875-8BEA-EBB4AAF01E6B}" xr6:coauthVersionLast="47" xr6:coauthVersionMax="47" xr10:uidLastSave="{00000000-0000-0000-0000-000000000000}"/>
  <bookViews>
    <workbookView xWindow="-120" yWindow="-120" windowWidth="38640" windowHeight="15840" tabRatio="895" xr2:uid="{00000000-000D-0000-FFFF-FFFF00000000}"/>
  </bookViews>
  <sheets>
    <sheet name="Input" sheetId="34" r:id="rId1"/>
    <sheet name="Temperature" sheetId="31" r:id="rId2"/>
    <sheet name="Soil Classification" sheetId="43" r:id="rId3"/>
    <sheet name="K-Table" sheetId="33" r:id="rId4"/>
    <sheet name="K-Table (Lean Concrete)" sheetId="46" r:id="rId5"/>
    <sheet name="Composite K" sheetId="35" r:id="rId6"/>
    <sheet name="S-Table" sheetId="45" r:id="rId7"/>
    <sheet name="Stress" sheetId="44" r:id="rId8"/>
    <sheet name="Final Result" sheetId="40" r:id="rId9"/>
    <sheet name="Time vs. Cumulative Damage" sheetId="16" state="hidden" r:id="rId10"/>
    <sheet name="Cumulative Damage vs. Punchouts" sheetId="23" state="hidden" r:id="rId11"/>
  </sheets>
  <functionGroups builtInGroupCount="19"/>
  <definedNames>
    <definedName name="_xlnm._FilterDatabase" localSheetId="3" hidden="1">'K-Table'!$A$1:$E$1191</definedName>
    <definedName name="_xlnm._FilterDatabase" localSheetId="4" hidden="1">'K-Table (Lean Concrete)'!$A$1:$D$1191</definedName>
    <definedName name="AASHTO">'Soil Classification'!$C$21:$C$32</definedName>
    <definedName name="ABL">Temperature!$B$304:$B$316</definedName>
    <definedName name="AMA">Temperature!$B$319:$B$335</definedName>
    <definedName name="ATL">Temperature!$B$338:$B$346</definedName>
    <definedName name="AUS">Temperature!$B$349:$B$359</definedName>
    <definedName name="BMT">Temperature!$B$362:$B$369</definedName>
    <definedName name="BRY">Temperature!$B$372:$B$381</definedName>
    <definedName name="BWD">Temperature!$B$384:$B$392</definedName>
    <definedName name="CHS">Temperature!$B$395:$B$407</definedName>
    <definedName name="Classification">'Soil Classification'!$C$2:$D$2</definedName>
    <definedName name="CRP">Temperature!$B$410:$B$419</definedName>
    <definedName name="DAL">Temperature!$B$422:$B$428</definedName>
    <definedName name="District">Temperature!$A$303:$A$327</definedName>
    <definedName name="ELP">Temperature!$B$431:$B$436</definedName>
    <definedName name="FTW">Temperature!$B$439:$B$447</definedName>
    <definedName name="HOU">Temperature!$B$450:$B$455</definedName>
    <definedName name="LBB">Temperature!$B$458:$B$474</definedName>
    <definedName name="LFK">Temperature!$B$477:$B$485</definedName>
    <definedName name="LRD">Temperature!$B$488:$B$495</definedName>
    <definedName name="ODA">Temperature!$B$498:$B$509</definedName>
    <definedName name="PAR">Temperature!$B$512:$B$520</definedName>
    <definedName name="PHR">Temperature!$B$523:$B$530</definedName>
    <definedName name="SAT">Temperature!$B$533:$B$544</definedName>
    <definedName name="SJT">Temperature!$B$547:$B$561</definedName>
    <definedName name="TYL">Temperature!$B$564:$B$571</definedName>
    <definedName name="USCS">'Soil Classification'!$D$21:$D$34</definedName>
    <definedName name="WAC">Temperature!$B$574:$B$581</definedName>
    <definedName name="WFS">Temperature!$B$584:$B$592</definedName>
    <definedName name="YKM">Temperature!$B$595:$B$605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44" l="1"/>
  <c r="C10" i="44" s="1"/>
  <c r="G2" i="45"/>
  <c r="G3" i="45"/>
  <c r="G4" i="45"/>
  <c r="G5" i="45"/>
  <c r="G6" i="45"/>
  <c r="G7" i="45"/>
  <c r="G8" i="45"/>
  <c r="G9" i="45"/>
  <c r="G10" i="45"/>
  <c r="G11" i="45"/>
  <c r="G12" i="45"/>
  <c r="G13" i="45"/>
  <c r="G14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60" i="45"/>
  <c r="G61" i="45"/>
  <c r="G62" i="45"/>
  <c r="G63" i="45"/>
  <c r="G64" i="45"/>
  <c r="G65" i="45"/>
  <c r="G66" i="45"/>
  <c r="G67" i="45"/>
  <c r="G68" i="45"/>
  <c r="G69" i="45"/>
  <c r="G70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R12" i="44"/>
  <c r="R10" i="44"/>
  <c r="R8" i="44"/>
  <c r="R6" i="44"/>
  <c r="Z10" i="44" s="1"/>
  <c r="W17" i="44" s="1"/>
  <c r="R4" i="44"/>
  <c r="Z6" i="44" s="1"/>
  <c r="W16" i="44" s="1"/>
  <c r="B8" i="44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61" i="45"/>
  <c r="E60" i="45"/>
  <c r="E59" i="45"/>
  <c r="E58" i="45"/>
  <c r="E57" i="45"/>
  <c r="E56" i="45"/>
  <c r="E55" i="45"/>
  <c r="E54" i="45"/>
  <c r="E53" i="45"/>
  <c r="E52" i="45"/>
  <c r="E51" i="45"/>
  <c r="E50" i="45"/>
  <c r="E49" i="45"/>
  <c r="E48" i="45"/>
  <c r="E47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E11" i="45"/>
  <c r="E10" i="45"/>
  <c r="E9" i="45"/>
  <c r="E8" i="45"/>
  <c r="E7" i="45"/>
  <c r="E6" i="45"/>
  <c r="E5" i="45"/>
  <c r="E4" i="45"/>
  <c r="E3" i="45"/>
  <c r="E2" i="45"/>
  <c r="B6" i="44"/>
  <c r="AK2" i="44" s="1"/>
  <c r="B4" i="44"/>
  <c r="Q8" i="44" s="1"/>
  <c r="B3" i="44"/>
  <c r="D3" i="44" s="1"/>
  <c r="C7" i="34"/>
  <c r="B2" i="44" s="1"/>
  <c r="W2" i="44" s="1"/>
  <c r="AH2" i="44" s="1"/>
  <c r="B9" i="44" l="1"/>
  <c r="AL2" i="44" s="1"/>
  <c r="AE3" i="44"/>
  <c r="AE4" i="44"/>
  <c r="G13" i="44"/>
  <c r="G12" i="44"/>
  <c r="G10" i="44"/>
  <c r="G9" i="44"/>
  <c r="G8" i="44"/>
  <c r="G11" i="44"/>
  <c r="X2" i="44"/>
  <c r="C4" i="44"/>
  <c r="H9" i="44" s="1"/>
  <c r="C3" i="44"/>
  <c r="D4" i="44"/>
  <c r="Y2" i="44"/>
  <c r="AJ2" i="44" s="1"/>
  <c r="F5" i="44"/>
  <c r="F4" i="44"/>
  <c r="F3" i="44"/>
  <c r="F2" i="44"/>
  <c r="F9" i="44"/>
  <c r="F8" i="44"/>
  <c r="F13" i="44"/>
  <c r="F12" i="44"/>
  <c r="F11" i="44"/>
  <c r="F6" i="44"/>
  <c r="F10" i="44"/>
  <c r="F7" i="44"/>
  <c r="Q2" i="44"/>
  <c r="C8" i="35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6" i="33"/>
  <c r="G57" i="33"/>
  <c r="G58" i="33"/>
  <c r="G59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97" i="33"/>
  <c r="G98" i="33"/>
  <c r="G99" i="33"/>
  <c r="G100" i="33"/>
  <c r="G101" i="33"/>
  <c r="G102" i="33"/>
  <c r="G103" i="33"/>
  <c r="G104" i="33"/>
  <c r="G105" i="33"/>
  <c r="G106" i="33"/>
  <c r="G107" i="33"/>
  <c r="G108" i="33"/>
  <c r="G109" i="33"/>
  <c r="G110" i="33"/>
  <c r="G111" i="33"/>
  <c r="G112" i="33"/>
  <c r="G113" i="33"/>
  <c r="G114" i="33"/>
  <c r="G115" i="33"/>
  <c r="G116" i="33"/>
  <c r="G117" i="33"/>
  <c r="G118" i="33"/>
  <c r="G119" i="33"/>
  <c r="G120" i="33"/>
  <c r="G121" i="33"/>
  <c r="G122" i="33"/>
  <c r="G123" i="33"/>
  <c r="G124" i="33"/>
  <c r="G125" i="33"/>
  <c r="G126" i="33"/>
  <c r="G127" i="33"/>
  <c r="G128" i="33"/>
  <c r="G129" i="33"/>
  <c r="G130" i="33"/>
  <c r="G131" i="33"/>
  <c r="G132" i="33"/>
  <c r="G133" i="33"/>
  <c r="G134" i="33"/>
  <c r="G135" i="33"/>
  <c r="G136" i="33"/>
  <c r="G137" i="33"/>
  <c r="G138" i="33"/>
  <c r="G139" i="33"/>
  <c r="G140" i="33"/>
  <c r="G141" i="33"/>
  <c r="G142" i="33"/>
  <c r="G143" i="33"/>
  <c r="G144" i="33"/>
  <c r="G145" i="33"/>
  <c r="G146" i="33"/>
  <c r="G147" i="33"/>
  <c r="G148" i="33"/>
  <c r="G149" i="33"/>
  <c r="G150" i="33"/>
  <c r="G151" i="33"/>
  <c r="G152" i="33"/>
  <c r="G153" i="33"/>
  <c r="G154" i="33"/>
  <c r="G155" i="33"/>
  <c r="G156" i="33"/>
  <c r="G157" i="33"/>
  <c r="G158" i="33"/>
  <c r="G159" i="33"/>
  <c r="G160" i="33"/>
  <c r="G161" i="33"/>
  <c r="G162" i="33"/>
  <c r="G163" i="33"/>
  <c r="G164" i="33"/>
  <c r="G165" i="33"/>
  <c r="G166" i="33"/>
  <c r="G167" i="33"/>
  <c r="G168" i="33"/>
  <c r="G169" i="33"/>
  <c r="G170" i="33"/>
  <c r="G171" i="33"/>
  <c r="G172" i="33"/>
  <c r="G173" i="33"/>
  <c r="G174" i="33"/>
  <c r="G175" i="33"/>
  <c r="G176" i="33"/>
  <c r="G177" i="33"/>
  <c r="G178" i="33"/>
  <c r="G179" i="33"/>
  <c r="G180" i="33"/>
  <c r="G181" i="33"/>
  <c r="G182" i="33"/>
  <c r="G183" i="33"/>
  <c r="G184" i="33"/>
  <c r="G185" i="33"/>
  <c r="G186" i="33"/>
  <c r="G187" i="33"/>
  <c r="G188" i="33"/>
  <c r="G189" i="33"/>
  <c r="G190" i="33"/>
  <c r="G191" i="33"/>
  <c r="G192" i="33"/>
  <c r="G193" i="33"/>
  <c r="G194" i="33"/>
  <c r="G195" i="33"/>
  <c r="G196" i="33"/>
  <c r="G197" i="33"/>
  <c r="G198" i="33"/>
  <c r="G199" i="33"/>
  <c r="G200" i="33"/>
  <c r="G201" i="33"/>
  <c r="G202" i="33"/>
  <c r="G203" i="33"/>
  <c r="G204" i="33"/>
  <c r="G205" i="33"/>
  <c r="G206" i="33"/>
  <c r="G207" i="33"/>
  <c r="G208" i="33"/>
  <c r="G209" i="33"/>
  <c r="G210" i="33"/>
  <c r="G211" i="33"/>
  <c r="G212" i="33"/>
  <c r="G213" i="33"/>
  <c r="G214" i="33"/>
  <c r="G215" i="33"/>
  <c r="G216" i="33"/>
  <c r="G217" i="33"/>
  <c r="G218" i="33"/>
  <c r="G219" i="33"/>
  <c r="G220" i="33"/>
  <c r="G221" i="33"/>
  <c r="G222" i="33"/>
  <c r="G223" i="33"/>
  <c r="G224" i="33"/>
  <c r="G225" i="33"/>
  <c r="G226" i="33"/>
  <c r="G227" i="33"/>
  <c r="G228" i="33"/>
  <c r="G229" i="33"/>
  <c r="G230" i="33"/>
  <c r="G231" i="33"/>
  <c r="G232" i="33"/>
  <c r="G233" i="33"/>
  <c r="G234" i="33"/>
  <c r="G235" i="33"/>
  <c r="G236" i="33"/>
  <c r="G237" i="33"/>
  <c r="G238" i="33"/>
  <c r="G239" i="33"/>
  <c r="G240" i="33"/>
  <c r="G241" i="33"/>
  <c r="G242" i="33"/>
  <c r="G243" i="33"/>
  <c r="G244" i="33"/>
  <c r="G245" i="33"/>
  <c r="G246" i="33"/>
  <c r="G247" i="33"/>
  <c r="G248" i="33"/>
  <c r="G249" i="33"/>
  <c r="G250" i="33"/>
  <c r="G251" i="33"/>
  <c r="G252" i="33"/>
  <c r="G253" i="33"/>
  <c r="G254" i="33"/>
  <c r="G255" i="33"/>
  <c r="G256" i="33"/>
  <c r="G257" i="33"/>
  <c r="G258" i="33"/>
  <c r="G259" i="33"/>
  <c r="G260" i="33"/>
  <c r="G261" i="33"/>
  <c r="G262" i="33"/>
  <c r="G263" i="33"/>
  <c r="G264" i="33"/>
  <c r="G265" i="33"/>
  <c r="G266" i="33"/>
  <c r="G267" i="33"/>
  <c r="G268" i="33"/>
  <c r="G269" i="33"/>
  <c r="G270" i="33"/>
  <c r="G271" i="33"/>
  <c r="G272" i="33"/>
  <c r="G273" i="33"/>
  <c r="G274" i="33"/>
  <c r="G275" i="33"/>
  <c r="G276" i="33"/>
  <c r="G277" i="33"/>
  <c r="G278" i="33"/>
  <c r="G279" i="33"/>
  <c r="G280" i="33"/>
  <c r="G281" i="33"/>
  <c r="G282" i="33"/>
  <c r="G283" i="33"/>
  <c r="G284" i="33"/>
  <c r="G285" i="33"/>
  <c r="G286" i="33"/>
  <c r="G287" i="33"/>
  <c r="G288" i="33"/>
  <c r="G289" i="33"/>
  <c r="G290" i="33"/>
  <c r="G291" i="33"/>
  <c r="G292" i="33"/>
  <c r="G293" i="33"/>
  <c r="G294" i="33"/>
  <c r="G295" i="33"/>
  <c r="G296" i="33"/>
  <c r="G297" i="33"/>
  <c r="G298" i="33"/>
  <c r="G299" i="33"/>
  <c r="G300" i="33"/>
  <c r="G301" i="33"/>
  <c r="G302" i="33"/>
  <c r="G303" i="33"/>
  <c r="G304" i="33"/>
  <c r="G305" i="33"/>
  <c r="G306" i="33"/>
  <c r="G307" i="33"/>
  <c r="G308" i="33"/>
  <c r="G309" i="33"/>
  <c r="G310" i="33"/>
  <c r="G311" i="33"/>
  <c r="G312" i="33"/>
  <c r="G313" i="33"/>
  <c r="G314" i="33"/>
  <c r="G315" i="33"/>
  <c r="G316" i="33"/>
  <c r="G317" i="33"/>
  <c r="G318" i="33"/>
  <c r="G319" i="33"/>
  <c r="G320" i="33"/>
  <c r="G321" i="33"/>
  <c r="G322" i="33"/>
  <c r="G323" i="33"/>
  <c r="G324" i="33"/>
  <c r="G325" i="33"/>
  <c r="G326" i="33"/>
  <c r="G327" i="33"/>
  <c r="G328" i="33"/>
  <c r="G329" i="33"/>
  <c r="G330" i="33"/>
  <c r="G331" i="33"/>
  <c r="G332" i="33"/>
  <c r="G333" i="33"/>
  <c r="G334" i="33"/>
  <c r="G335" i="33"/>
  <c r="G336" i="33"/>
  <c r="G337" i="33"/>
  <c r="G338" i="33"/>
  <c r="G339" i="33"/>
  <c r="G340" i="33"/>
  <c r="G341" i="33"/>
  <c r="G342" i="33"/>
  <c r="G343" i="33"/>
  <c r="G344" i="33"/>
  <c r="G345" i="33"/>
  <c r="G346" i="33"/>
  <c r="G347" i="33"/>
  <c r="G348" i="33"/>
  <c r="G349" i="33"/>
  <c r="G350" i="33"/>
  <c r="G351" i="33"/>
  <c r="G352" i="33"/>
  <c r="G353" i="33"/>
  <c r="G354" i="33"/>
  <c r="G355" i="33"/>
  <c r="G356" i="33"/>
  <c r="G357" i="33"/>
  <c r="G358" i="33"/>
  <c r="G359" i="33"/>
  <c r="G360" i="33"/>
  <c r="G361" i="33"/>
  <c r="G362" i="33"/>
  <c r="G363" i="33"/>
  <c r="G364" i="33"/>
  <c r="G365" i="33"/>
  <c r="G366" i="33"/>
  <c r="G367" i="33"/>
  <c r="G368" i="33"/>
  <c r="G369" i="33"/>
  <c r="G370" i="33"/>
  <c r="G371" i="33"/>
  <c r="G372" i="33"/>
  <c r="G373" i="33"/>
  <c r="G374" i="33"/>
  <c r="G375" i="33"/>
  <c r="G376" i="33"/>
  <c r="G377" i="33"/>
  <c r="G378" i="33"/>
  <c r="G379" i="33"/>
  <c r="G380" i="33"/>
  <c r="G381" i="33"/>
  <c r="G382" i="33"/>
  <c r="G383" i="33"/>
  <c r="G384" i="33"/>
  <c r="G385" i="33"/>
  <c r="G386" i="33"/>
  <c r="G387" i="33"/>
  <c r="G388" i="33"/>
  <c r="G389" i="33"/>
  <c r="G390" i="33"/>
  <c r="G391" i="33"/>
  <c r="G392" i="33"/>
  <c r="G393" i="33"/>
  <c r="G394" i="33"/>
  <c r="G395" i="33"/>
  <c r="G396" i="33"/>
  <c r="G397" i="33"/>
  <c r="G398" i="33"/>
  <c r="G399" i="33"/>
  <c r="G400" i="33"/>
  <c r="G401" i="33"/>
  <c r="G402" i="33"/>
  <c r="G403" i="33"/>
  <c r="G404" i="33"/>
  <c r="G405" i="33"/>
  <c r="G406" i="33"/>
  <c r="G407" i="33"/>
  <c r="G408" i="33"/>
  <c r="G409" i="33"/>
  <c r="G410" i="33"/>
  <c r="G411" i="33"/>
  <c r="G412" i="33"/>
  <c r="G413" i="33"/>
  <c r="G414" i="33"/>
  <c r="G415" i="33"/>
  <c r="G416" i="33"/>
  <c r="G417" i="33"/>
  <c r="G418" i="33"/>
  <c r="G419" i="33"/>
  <c r="G420" i="33"/>
  <c r="G421" i="33"/>
  <c r="G422" i="33"/>
  <c r="G423" i="33"/>
  <c r="G424" i="33"/>
  <c r="G425" i="33"/>
  <c r="G426" i="33"/>
  <c r="G427" i="33"/>
  <c r="G428" i="33"/>
  <c r="G429" i="33"/>
  <c r="G430" i="33"/>
  <c r="G431" i="33"/>
  <c r="G432" i="33"/>
  <c r="G433" i="33"/>
  <c r="G434" i="33"/>
  <c r="G435" i="33"/>
  <c r="G436" i="33"/>
  <c r="G437" i="33"/>
  <c r="G438" i="33"/>
  <c r="G439" i="33"/>
  <c r="G440" i="33"/>
  <c r="G441" i="33"/>
  <c r="G442" i="33"/>
  <c r="G443" i="33"/>
  <c r="G444" i="33"/>
  <c r="G445" i="33"/>
  <c r="G446" i="33"/>
  <c r="G447" i="33"/>
  <c r="G448" i="33"/>
  <c r="G449" i="33"/>
  <c r="G450" i="33"/>
  <c r="G451" i="33"/>
  <c r="G452" i="33"/>
  <c r="G453" i="33"/>
  <c r="G454" i="33"/>
  <c r="G455" i="33"/>
  <c r="G456" i="33"/>
  <c r="G457" i="33"/>
  <c r="G458" i="33"/>
  <c r="G459" i="33"/>
  <c r="G460" i="33"/>
  <c r="G461" i="33"/>
  <c r="G462" i="33"/>
  <c r="G463" i="33"/>
  <c r="G464" i="33"/>
  <c r="G465" i="33"/>
  <c r="G466" i="33"/>
  <c r="G467" i="33"/>
  <c r="G468" i="33"/>
  <c r="G469" i="33"/>
  <c r="G470" i="33"/>
  <c r="G471" i="33"/>
  <c r="G472" i="33"/>
  <c r="G473" i="33"/>
  <c r="G474" i="33"/>
  <c r="G475" i="33"/>
  <c r="G476" i="33"/>
  <c r="G477" i="33"/>
  <c r="G478" i="33"/>
  <c r="G479" i="33"/>
  <c r="G480" i="33"/>
  <c r="G481" i="33"/>
  <c r="G482" i="33"/>
  <c r="G483" i="33"/>
  <c r="G484" i="33"/>
  <c r="G485" i="33"/>
  <c r="G486" i="33"/>
  <c r="G487" i="33"/>
  <c r="G488" i="33"/>
  <c r="G489" i="33"/>
  <c r="G490" i="33"/>
  <c r="G491" i="33"/>
  <c r="G492" i="33"/>
  <c r="G493" i="33"/>
  <c r="G494" i="33"/>
  <c r="G495" i="33"/>
  <c r="G496" i="33"/>
  <c r="G497" i="33"/>
  <c r="G498" i="33"/>
  <c r="G499" i="33"/>
  <c r="G500" i="33"/>
  <c r="G501" i="33"/>
  <c r="G502" i="33"/>
  <c r="G503" i="33"/>
  <c r="G504" i="33"/>
  <c r="G505" i="33"/>
  <c r="G506" i="33"/>
  <c r="G507" i="33"/>
  <c r="G508" i="33"/>
  <c r="G509" i="33"/>
  <c r="G510" i="33"/>
  <c r="G511" i="33"/>
  <c r="G512" i="33"/>
  <c r="G513" i="33"/>
  <c r="G514" i="33"/>
  <c r="G515" i="33"/>
  <c r="G516" i="33"/>
  <c r="G517" i="33"/>
  <c r="G518" i="33"/>
  <c r="G519" i="33"/>
  <c r="G520" i="33"/>
  <c r="G521" i="33"/>
  <c r="G522" i="33"/>
  <c r="G523" i="33"/>
  <c r="G524" i="33"/>
  <c r="G525" i="33"/>
  <c r="G526" i="33"/>
  <c r="G527" i="33"/>
  <c r="G528" i="33"/>
  <c r="G529" i="33"/>
  <c r="G530" i="33"/>
  <c r="G531" i="33"/>
  <c r="G532" i="33"/>
  <c r="G533" i="33"/>
  <c r="G534" i="33"/>
  <c r="G535" i="33"/>
  <c r="G536" i="33"/>
  <c r="G537" i="33"/>
  <c r="G538" i="33"/>
  <c r="G539" i="33"/>
  <c r="G540" i="33"/>
  <c r="G541" i="33"/>
  <c r="G542" i="33"/>
  <c r="G543" i="33"/>
  <c r="G544" i="33"/>
  <c r="G545" i="33"/>
  <c r="G546" i="33"/>
  <c r="G547" i="33"/>
  <c r="G548" i="33"/>
  <c r="G549" i="33"/>
  <c r="G550" i="33"/>
  <c r="G551" i="33"/>
  <c r="G552" i="33"/>
  <c r="G553" i="33"/>
  <c r="G554" i="33"/>
  <c r="G555" i="33"/>
  <c r="G556" i="33"/>
  <c r="G557" i="33"/>
  <c r="G558" i="33"/>
  <c r="G559" i="33"/>
  <c r="G560" i="33"/>
  <c r="G561" i="33"/>
  <c r="G562" i="33"/>
  <c r="G563" i="33"/>
  <c r="G564" i="33"/>
  <c r="G565" i="33"/>
  <c r="G566" i="33"/>
  <c r="G567" i="33"/>
  <c r="G568" i="33"/>
  <c r="G569" i="33"/>
  <c r="G570" i="33"/>
  <c r="G571" i="33"/>
  <c r="G572" i="33"/>
  <c r="G573" i="33"/>
  <c r="G574" i="33"/>
  <c r="G575" i="33"/>
  <c r="G576" i="33"/>
  <c r="G577" i="33"/>
  <c r="G578" i="33"/>
  <c r="G579" i="33"/>
  <c r="G580" i="33"/>
  <c r="G581" i="33"/>
  <c r="G582" i="33"/>
  <c r="G583" i="33"/>
  <c r="G584" i="33"/>
  <c r="G585" i="33"/>
  <c r="G586" i="33"/>
  <c r="G587" i="33"/>
  <c r="G588" i="33"/>
  <c r="G589" i="33"/>
  <c r="G590" i="33"/>
  <c r="G591" i="33"/>
  <c r="G592" i="33"/>
  <c r="G593" i="33"/>
  <c r="G594" i="33"/>
  <c r="G595" i="33"/>
  <c r="G596" i="33"/>
  <c r="G597" i="33"/>
  <c r="G598" i="33"/>
  <c r="G599" i="33"/>
  <c r="G600" i="33"/>
  <c r="G601" i="33"/>
  <c r="G602" i="33"/>
  <c r="G603" i="33"/>
  <c r="G604" i="33"/>
  <c r="G605" i="33"/>
  <c r="G606" i="33"/>
  <c r="G607" i="33"/>
  <c r="G608" i="33"/>
  <c r="G609" i="33"/>
  <c r="G610" i="33"/>
  <c r="G611" i="33"/>
  <c r="G612" i="33"/>
  <c r="G613" i="33"/>
  <c r="G614" i="33"/>
  <c r="G615" i="33"/>
  <c r="G616" i="33"/>
  <c r="G617" i="33"/>
  <c r="G618" i="33"/>
  <c r="G619" i="33"/>
  <c r="G620" i="33"/>
  <c r="G621" i="33"/>
  <c r="G622" i="33"/>
  <c r="G623" i="33"/>
  <c r="G624" i="33"/>
  <c r="G625" i="33"/>
  <c r="G626" i="33"/>
  <c r="G627" i="33"/>
  <c r="G628" i="33"/>
  <c r="G629" i="33"/>
  <c r="G630" i="33"/>
  <c r="G631" i="33"/>
  <c r="G632" i="33"/>
  <c r="G633" i="33"/>
  <c r="G634" i="33"/>
  <c r="G635" i="33"/>
  <c r="G636" i="33"/>
  <c r="G637" i="33"/>
  <c r="G638" i="33"/>
  <c r="G639" i="33"/>
  <c r="G640" i="33"/>
  <c r="G641" i="33"/>
  <c r="G642" i="33"/>
  <c r="G643" i="33"/>
  <c r="G644" i="33"/>
  <c r="G645" i="33"/>
  <c r="G646" i="33"/>
  <c r="G647" i="33"/>
  <c r="G648" i="33"/>
  <c r="G649" i="33"/>
  <c r="G650" i="33"/>
  <c r="G651" i="33"/>
  <c r="G652" i="33"/>
  <c r="G653" i="33"/>
  <c r="G654" i="33"/>
  <c r="G655" i="33"/>
  <c r="G656" i="33"/>
  <c r="G657" i="33"/>
  <c r="G658" i="33"/>
  <c r="G659" i="33"/>
  <c r="G660" i="33"/>
  <c r="G661" i="33"/>
  <c r="G662" i="33"/>
  <c r="G663" i="33"/>
  <c r="G664" i="33"/>
  <c r="G665" i="33"/>
  <c r="G666" i="33"/>
  <c r="G667" i="33"/>
  <c r="G668" i="33"/>
  <c r="G669" i="33"/>
  <c r="G670" i="33"/>
  <c r="G671" i="33"/>
  <c r="G672" i="33"/>
  <c r="G673" i="33"/>
  <c r="G674" i="33"/>
  <c r="G675" i="33"/>
  <c r="G676" i="33"/>
  <c r="G677" i="33"/>
  <c r="G678" i="33"/>
  <c r="G679" i="33"/>
  <c r="G680" i="33"/>
  <c r="G681" i="33"/>
  <c r="G682" i="33"/>
  <c r="G683" i="33"/>
  <c r="G684" i="33"/>
  <c r="G685" i="33"/>
  <c r="G686" i="33"/>
  <c r="G687" i="33"/>
  <c r="G688" i="33"/>
  <c r="G689" i="33"/>
  <c r="G690" i="33"/>
  <c r="G691" i="33"/>
  <c r="G692" i="33"/>
  <c r="G693" i="33"/>
  <c r="G694" i="33"/>
  <c r="G695" i="33"/>
  <c r="G696" i="33"/>
  <c r="G697" i="33"/>
  <c r="G698" i="33"/>
  <c r="G699" i="33"/>
  <c r="G700" i="33"/>
  <c r="G701" i="33"/>
  <c r="G702" i="33"/>
  <c r="G703" i="33"/>
  <c r="G704" i="33"/>
  <c r="G705" i="33"/>
  <c r="G706" i="33"/>
  <c r="G707" i="33"/>
  <c r="G708" i="33"/>
  <c r="G709" i="33"/>
  <c r="G710" i="33"/>
  <c r="G711" i="33"/>
  <c r="G712" i="33"/>
  <c r="G713" i="33"/>
  <c r="G714" i="33"/>
  <c r="G715" i="33"/>
  <c r="G716" i="33"/>
  <c r="G717" i="33"/>
  <c r="G718" i="33"/>
  <c r="G719" i="33"/>
  <c r="G720" i="33"/>
  <c r="G721" i="33"/>
  <c r="G722" i="33"/>
  <c r="G723" i="33"/>
  <c r="G724" i="33"/>
  <c r="G725" i="33"/>
  <c r="G726" i="33"/>
  <c r="G727" i="33"/>
  <c r="G728" i="33"/>
  <c r="G729" i="33"/>
  <c r="G730" i="33"/>
  <c r="G731" i="33"/>
  <c r="G732" i="33"/>
  <c r="G733" i="33"/>
  <c r="G734" i="33"/>
  <c r="G735" i="33"/>
  <c r="G736" i="33"/>
  <c r="G737" i="33"/>
  <c r="G738" i="33"/>
  <c r="G739" i="33"/>
  <c r="G740" i="33"/>
  <c r="G741" i="33"/>
  <c r="G742" i="33"/>
  <c r="G743" i="33"/>
  <c r="G744" i="33"/>
  <c r="G745" i="33"/>
  <c r="G746" i="33"/>
  <c r="G747" i="33"/>
  <c r="G748" i="33"/>
  <c r="G749" i="33"/>
  <c r="G750" i="33"/>
  <c r="G751" i="33"/>
  <c r="G752" i="33"/>
  <c r="G753" i="33"/>
  <c r="G754" i="33"/>
  <c r="G755" i="33"/>
  <c r="G756" i="33"/>
  <c r="G757" i="33"/>
  <c r="G758" i="33"/>
  <c r="G759" i="33"/>
  <c r="G760" i="33"/>
  <c r="G761" i="33"/>
  <c r="G762" i="33"/>
  <c r="G763" i="33"/>
  <c r="G764" i="33"/>
  <c r="G765" i="33"/>
  <c r="G766" i="33"/>
  <c r="G767" i="33"/>
  <c r="G768" i="33"/>
  <c r="G769" i="33"/>
  <c r="G770" i="33"/>
  <c r="G771" i="33"/>
  <c r="G772" i="33"/>
  <c r="G773" i="33"/>
  <c r="G774" i="33"/>
  <c r="G775" i="33"/>
  <c r="G776" i="33"/>
  <c r="G777" i="33"/>
  <c r="G778" i="33"/>
  <c r="G779" i="33"/>
  <c r="G780" i="33"/>
  <c r="G781" i="33"/>
  <c r="G782" i="33"/>
  <c r="G783" i="33"/>
  <c r="G784" i="33"/>
  <c r="G785" i="33"/>
  <c r="G786" i="33"/>
  <c r="G787" i="33"/>
  <c r="G788" i="33"/>
  <c r="G789" i="33"/>
  <c r="G790" i="33"/>
  <c r="G791" i="33"/>
  <c r="G792" i="33"/>
  <c r="G793" i="33"/>
  <c r="G794" i="33"/>
  <c r="G795" i="33"/>
  <c r="G796" i="33"/>
  <c r="G797" i="33"/>
  <c r="G798" i="33"/>
  <c r="G799" i="33"/>
  <c r="G800" i="33"/>
  <c r="G801" i="33"/>
  <c r="G802" i="33"/>
  <c r="G803" i="33"/>
  <c r="G804" i="33"/>
  <c r="G805" i="33"/>
  <c r="G806" i="33"/>
  <c r="G807" i="33"/>
  <c r="G808" i="33"/>
  <c r="G809" i="33"/>
  <c r="G810" i="33"/>
  <c r="G811" i="33"/>
  <c r="G812" i="33"/>
  <c r="G813" i="33"/>
  <c r="G814" i="33"/>
  <c r="G815" i="33"/>
  <c r="G816" i="33"/>
  <c r="G817" i="33"/>
  <c r="G818" i="33"/>
  <c r="G819" i="33"/>
  <c r="G820" i="33"/>
  <c r="G821" i="33"/>
  <c r="G822" i="33"/>
  <c r="G823" i="33"/>
  <c r="G824" i="33"/>
  <c r="G825" i="33"/>
  <c r="G826" i="33"/>
  <c r="G827" i="33"/>
  <c r="G828" i="33"/>
  <c r="G829" i="33"/>
  <c r="G830" i="33"/>
  <c r="G831" i="33"/>
  <c r="G832" i="33"/>
  <c r="G833" i="33"/>
  <c r="G834" i="33"/>
  <c r="G835" i="33"/>
  <c r="G836" i="33"/>
  <c r="G837" i="33"/>
  <c r="G838" i="33"/>
  <c r="G839" i="33"/>
  <c r="G840" i="33"/>
  <c r="G841" i="33"/>
  <c r="G842" i="33"/>
  <c r="G843" i="33"/>
  <c r="G844" i="33"/>
  <c r="G845" i="33"/>
  <c r="G846" i="33"/>
  <c r="G847" i="33"/>
  <c r="G848" i="33"/>
  <c r="G849" i="33"/>
  <c r="G850" i="33"/>
  <c r="G851" i="33"/>
  <c r="G852" i="33"/>
  <c r="G853" i="33"/>
  <c r="G854" i="33"/>
  <c r="G855" i="33"/>
  <c r="G856" i="33"/>
  <c r="G857" i="33"/>
  <c r="G858" i="33"/>
  <c r="G859" i="33"/>
  <c r="G860" i="33"/>
  <c r="G861" i="33"/>
  <c r="G862" i="33"/>
  <c r="G863" i="33"/>
  <c r="G864" i="33"/>
  <c r="G865" i="33"/>
  <c r="G866" i="33"/>
  <c r="G867" i="33"/>
  <c r="G868" i="33"/>
  <c r="G869" i="33"/>
  <c r="G870" i="33"/>
  <c r="G871" i="33"/>
  <c r="G872" i="33"/>
  <c r="G873" i="33"/>
  <c r="G874" i="33"/>
  <c r="G875" i="33"/>
  <c r="G876" i="33"/>
  <c r="G877" i="33"/>
  <c r="G878" i="33"/>
  <c r="G879" i="33"/>
  <c r="G880" i="33"/>
  <c r="G881" i="33"/>
  <c r="G882" i="33"/>
  <c r="G883" i="33"/>
  <c r="G884" i="33"/>
  <c r="G885" i="33"/>
  <c r="G886" i="33"/>
  <c r="G887" i="33"/>
  <c r="G888" i="33"/>
  <c r="G889" i="33"/>
  <c r="G890" i="33"/>
  <c r="G891" i="33"/>
  <c r="G892" i="33"/>
  <c r="G893" i="33"/>
  <c r="G894" i="33"/>
  <c r="G895" i="33"/>
  <c r="G896" i="33"/>
  <c r="G897" i="33"/>
  <c r="G898" i="33"/>
  <c r="G899" i="33"/>
  <c r="G900" i="33"/>
  <c r="G901" i="33"/>
  <c r="G902" i="33"/>
  <c r="G903" i="33"/>
  <c r="G904" i="33"/>
  <c r="G905" i="33"/>
  <c r="G906" i="33"/>
  <c r="G907" i="33"/>
  <c r="G908" i="33"/>
  <c r="G909" i="33"/>
  <c r="G910" i="33"/>
  <c r="G911" i="33"/>
  <c r="G912" i="33"/>
  <c r="G913" i="33"/>
  <c r="G914" i="33"/>
  <c r="G915" i="33"/>
  <c r="G916" i="33"/>
  <c r="G917" i="33"/>
  <c r="G918" i="33"/>
  <c r="G919" i="33"/>
  <c r="G920" i="33"/>
  <c r="G921" i="33"/>
  <c r="G922" i="33"/>
  <c r="G923" i="33"/>
  <c r="G924" i="33"/>
  <c r="G925" i="33"/>
  <c r="G926" i="33"/>
  <c r="G927" i="33"/>
  <c r="G928" i="33"/>
  <c r="G929" i="33"/>
  <c r="G930" i="33"/>
  <c r="G931" i="33"/>
  <c r="G932" i="33"/>
  <c r="G933" i="33"/>
  <c r="G934" i="33"/>
  <c r="G935" i="33"/>
  <c r="G936" i="33"/>
  <c r="G937" i="33"/>
  <c r="G938" i="33"/>
  <c r="G939" i="33"/>
  <c r="G940" i="33"/>
  <c r="G941" i="33"/>
  <c r="G942" i="33"/>
  <c r="G943" i="33"/>
  <c r="G944" i="33"/>
  <c r="G945" i="33"/>
  <c r="G946" i="33"/>
  <c r="G947" i="33"/>
  <c r="G948" i="33"/>
  <c r="G949" i="33"/>
  <c r="G950" i="33"/>
  <c r="G951" i="33"/>
  <c r="G952" i="33"/>
  <c r="G953" i="33"/>
  <c r="G954" i="33"/>
  <c r="G955" i="33"/>
  <c r="G956" i="33"/>
  <c r="G957" i="33"/>
  <c r="G958" i="33"/>
  <c r="G959" i="33"/>
  <c r="G960" i="33"/>
  <c r="G961" i="33"/>
  <c r="G962" i="33"/>
  <c r="G963" i="33"/>
  <c r="G964" i="33"/>
  <c r="G965" i="33"/>
  <c r="G966" i="33"/>
  <c r="G967" i="33"/>
  <c r="G968" i="33"/>
  <c r="G969" i="33"/>
  <c r="G970" i="33"/>
  <c r="G971" i="33"/>
  <c r="G972" i="33"/>
  <c r="G973" i="33"/>
  <c r="G974" i="33"/>
  <c r="G975" i="33"/>
  <c r="G976" i="33"/>
  <c r="G977" i="33"/>
  <c r="G978" i="33"/>
  <c r="G979" i="33"/>
  <c r="G980" i="33"/>
  <c r="G981" i="33"/>
  <c r="G982" i="33"/>
  <c r="G983" i="33"/>
  <c r="G984" i="33"/>
  <c r="G985" i="33"/>
  <c r="G986" i="33"/>
  <c r="G987" i="33"/>
  <c r="G988" i="33"/>
  <c r="G989" i="33"/>
  <c r="G990" i="33"/>
  <c r="G991" i="33"/>
  <c r="G992" i="33"/>
  <c r="G993" i="33"/>
  <c r="G994" i="33"/>
  <c r="G995" i="33"/>
  <c r="G996" i="33"/>
  <c r="G997" i="33"/>
  <c r="G998" i="33"/>
  <c r="G999" i="33"/>
  <c r="G1000" i="33"/>
  <c r="G1001" i="33"/>
  <c r="G1002" i="33"/>
  <c r="G1003" i="33"/>
  <c r="G1004" i="33"/>
  <c r="G1005" i="33"/>
  <c r="G1006" i="33"/>
  <c r="G1007" i="33"/>
  <c r="G1008" i="33"/>
  <c r="G1009" i="33"/>
  <c r="G1010" i="33"/>
  <c r="G1011" i="33"/>
  <c r="G1012" i="33"/>
  <c r="G1013" i="33"/>
  <c r="G1014" i="33"/>
  <c r="G1015" i="33"/>
  <c r="G1016" i="33"/>
  <c r="G1017" i="33"/>
  <c r="G1018" i="33"/>
  <c r="G1019" i="33"/>
  <c r="G1020" i="33"/>
  <c r="G1021" i="33"/>
  <c r="G1022" i="33"/>
  <c r="G1023" i="33"/>
  <c r="G1024" i="33"/>
  <c r="G1025" i="33"/>
  <c r="G1026" i="33"/>
  <c r="G1027" i="33"/>
  <c r="G1028" i="33"/>
  <c r="G1029" i="33"/>
  <c r="G1030" i="33"/>
  <c r="G1031" i="33"/>
  <c r="G1032" i="33"/>
  <c r="G1033" i="33"/>
  <c r="G1034" i="33"/>
  <c r="G1035" i="33"/>
  <c r="G1036" i="33"/>
  <c r="G1037" i="33"/>
  <c r="G1038" i="33"/>
  <c r="G1039" i="33"/>
  <c r="G1040" i="33"/>
  <c r="G1041" i="33"/>
  <c r="G1042" i="33"/>
  <c r="G1043" i="33"/>
  <c r="G1044" i="33"/>
  <c r="G1045" i="33"/>
  <c r="G1046" i="33"/>
  <c r="G1047" i="33"/>
  <c r="G1048" i="33"/>
  <c r="G1049" i="33"/>
  <c r="G1050" i="33"/>
  <c r="G1051" i="33"/>
  <c r="G1052" i="33"/>
  <c r="G1053" i="33"/>
  <c r="G1054" i="33"/>
  <c r="G1055" i="33"/>
  <c r="G1056" i="33"/>
  <c r="G1057" i="33"/>
  <c r="G1058" i="33"/>
  <c r="G1059" i="33"/>
  <c r="G1060" i="33"/>
  <c r="G1061" i="33"/>
  <c r="G1062" i="33"/>
  <c r="G1063" i="33"/>
  <c r="G1064" i="33"/>
  <c r="G1065" i="33"/>
  <c r="G1066" i="33"/>
  <c r="G1067" i="33"/>
  <c r="G1068" i="33"/>
  <c r="G1069" i="33"/>
  <c r="G1070" i="33"/>
  <c r="G1071" i="33"/>
  <c r="G1072" i="33"/>
  <c r="G1073" i="33"/>
  <c r="G1074" i="33"/>
  <c r="G1075" i="33"/>
  <c r="G1076" i="33"/>
  <c r="G1077" i="33"/>
  <c r="G1078" i="33"/>
  <c r="G1079" i="33"/>
  <c r="G1080" i="33"/>
  <c r="G1081" i="33"/>
  <c r="G1082" i="33"/>
  <c r="G1083" i="33"/>
  <c r="G1084" i="33"/>
  <c r="G1085" i="33"/>
  <c r="G1086" i="33"/>
  <c r="G1087" i="33"/>
  <c r="G1088" i="33"/>
  <c r="G1089" i="33"/>
  <c r="G1090" i="33"/>
  <c r="G1091" i="33"/>
  <c r="G1092" i="33"/>
  <c r="G1093" i="33"/>
  <c r="G1094" i="33"/>
  <c r="G1095" i="33"/>
  <c r="G1096" i="33"/>
  <c r="G1097" i="33"/>
  <c r="G1098" i="33"/>
  <c r="G1099" i="33"/>
  <c r="G1100" i="33"/>
  <c r="G1101" i="33"/>
  <c r="G1102" i="33"/>
  <c r="G1103" i="33"/>
  <c r="G1104" i="33"/>
  <c r="G1105" i="33"/>
  <c r="G1106" i="33"/>
  <c r="G1107" i="33"/>
  <c r="G1108" i="33"/>
  <c r="G1109" i="33"/>
  <c r="G1110" i="33"/>
  <c r="G1111" i="33"/>
  <c r="G1112" i="33"/>
  <c r="G1113" i="33"/>
  <c r="G1114" i="33"/>
  <c r="G1115" i="33"/>
  <c r="G1116" i="33"/>
  <c r="G1117" i="33"/>
  <c r="G1118" i="33"/>
  <c r="G1119" i="33"/>
  <c r="G1120" i="33"/>
  <c r="G1121" i="33"/>
  <c r="G1122" i="33"/>
  <c r="G1123" i="33"/>
  <c r="G1124" i="33"/>
  <c r="G1125" i="33"/>
  <c r="G1126" i="33"/>
  <c r="G1127" i="33"/>
  <c r="G1128" i="33"/>
  <c r="G1129" i="33"/>
  <c r="G1130" i="33"/>
  <c r="G1131" i="33"/>
  <c r="G1132" i="33"/>
  <c r="G1133" i="33"/>
  <c r="G1134" i="33"/>
  <c r="G1135" i="33"/>
  <c r="G1136" i="33"/>
  <c r="G1137" i="33"/>
  <c r="G1138" i="33"/>
  <c r="G1139" i="33"/>
  <c r="G1140" i="33"/>
  <c r="G1141" i="33"/>
  <c r="G1142" i="33"/>
  <c r="G1143" i="33"/>
  <c r="G1144" i="33"/>
  <c r="G1145" i="33"/>
  <c r="G1146" i="33"/>
  <c r="G1147" i="33"/>
  <c r="G1148" i="33"/>
  <c r="G1149" i="33"/>
  <c r="G1150" i="33"/>
  <c r="G1151" i="33"/>
  <c r="G1152" i="33"/>
  <c r="G1153" i="33"/>
  <c r="G1154" i="33"/>
  <c r="G1155" i="33"/>
  <c r="G1156" i="33"/>
  <c r="G1157" i="33"/>
  <c r="G1158" i="33"/>
  <c r="G1159" i="33"/>
  <c r="G1160" i="33"/>
  <c r="G1161" i="33"/>
  <c r="G1162" i="33"/>
  <c r="G1163" i="33"/>
  <c r="G1164" i="33"/>
  <c r="G1165" i="33"/>
  <c r="G1166" i="33"/>
  <c r="G1167" i="33"/>
  <c r="G1168" i="33"/>
  <c r="G1169" i="33"/>
  <c r="G1170" i="33"/>
  <c r="G1171" i="33"/>
  <c r="G1172" i="33"/>
  <c r="G1173" i="33"/>
  <c r="G1174" i="33"/>
  <c r="G1175" i="33"/>
  <c r="G1176" i="33"/>
  <c r="G1177" i="33"/>
  <c r="G1178" i="33"/>
  <c r="G1179" i="33"/>
  <c r="G1180" i="33"/>
  <c r="G1181" i="33"/>
  <c r="G1182" i="33"/>
  <c r="G1183" i="33"/>
  <c r="G1184" i="33"/>
  <c r="G1185" i="33"/>
  <c r="G1186" i="33"/>
  <c r="G1187" i="33"/>
  <c r="G1188" i="33"/>
  <c r="G1189" i="33"/>
  <c r="G1190" i="33"/>
  <c r="G1191" i="33"/>
  <c r="G2" i="33"/>
  <c r="E3" i="33"/>
  <c r="F3" i="33"/>
  <c r="H3" i="33"/>
  <c r="E4" i="33"/>
  <c r="F4" i="33"/>
  <c r="H4" i="33"/>
  <c r="E5" i="33"/>
  <c r="F5" i="33"/>
  <c r="H5" i="33"/>
  <c r="E6" i="33"/>
  <c r="F6" i="33"/>
  <c r="H6" i="33"/>
  <c r="E7" i="33"/>
  <c r="F7" i="33"/>
  <c r="H7" i="33"/>
  <c r="E8" i="33"/>
  <c r="F8" i="33"/>
  <c r="H8" i="33"/>
  <c r="E9" i="33"/>
  <c r="F9" i="33"/>
  <c r="H9" i="33"/>
  <c r="E10" i="33"/>
  <c r="F10" i="33"/>
  <c r="H10" i="33"/>
  <c r="E11" i="33"/>
  <c r="F11" i="33"/>
  <c r="H11" i="33"/>
  <c r="E12" i="33"/>
  <c r="F12" i="33"/>
  <c r="H12" i="33"/>
  <c r="E13" i="33"/>
  <c r="F13" i="33"/>
  <c r="H13" i="33"/>
  <c r="E14" i="33"/>
  <c r="F14" i="33"/>
  <c r="H14" i="33"/>
  <c r="E15" i="33"/>
  <c r="F15" i="33"/>
  <c r="H15" i="33"/>
  <c r="E16" i="33"/>
  <c r="F16" i="33"/>
  <c r="H16" i="33"/>
  <c r="E17" i="33"/>
  <c r="F17" i="33"/>
  <c r="H17" i="33"/>
  <c r="E18" i="33"/>
  <c r="F18" i="33"/>
  <c r="H18" i="33"/>
  <c r="E19" i="33"/>
  <c r="F19" i="33"/>
  <c r="H19" i="33"/>
  <c r="E20" i="33"/>
  <c r="F20" i="33"/>
  <c r="H20" i="33"/>
  <c r="E21" i="33"/>
  <c r="F21" i="33"/>
  <c r="H21" i="33"/>
  <c r="E22" i="33"/>
  <c r="F22" i="33"/>
  <c r="H22" i="33"/>
  <c r="E23" i="33"/>
  <c r="F23" i="33"/>
  <c r="H23" i="33"/>
  <c r="E24" i="33"/>
  <c r="F24" i="33"/>
  <c r="H24" i="33"/>
  <c r="E25" i="33"/>
  <c r="F25" i="33"/>
  <c r="H25" i="33"/>
  <c r="E26" i="33"/>
  <c r="F26" i="33"/>
  <c r="H26" i="33"/>
  <c r="E27" i="33"/>
  <c r="F27" i="33"/>
  <c r="H27" i="33"/>
  <c r="E28" i="33"/>
  <c r="F28" i="33"/>
  <c r="H28" i="33"/>
  <c r="E29" i="33"/>
  <c r="F29" i="33"/>
  <c r="H29" i="33"/>
  <c r="E30" i="33"/>
  <c r="F30" i="33"/>
  <c r="H30" i="33"/>
  <c r="E31" i="33"/>
  <c r="F31" i="33"/>
  <c r="H31" i="33"/>
  <c r="E32" i="33"/>
  <c r="F32" i="33"/>
  <c r="H32" i="33"/>
  <c r="E33" i="33"/>
  <c r="F33" i="33"/>
  <c r="H33" i="33"/>
  <c r="E34" i="33"/>
  <c r="F34" i="33"/>
  <c r="H34" i="33"/>
  <c r="E35" i="33"/>
  <c r="F35" i="33"/>
  <c r="H35" i="33"/>
  <c r="E36" i="33"/>
  <c r="F36" i="33"/>
  <c r="H36" i="33"/>
  <c r="E37" i="33"/>
  <c r="F37" i="33"/>
  <c r="H37" i="33"/>
  <c r="E38" i="33"/>
  <c r="F38" i="33"/>
  <c r="H38" i="33"/>
  <c r="E39" i="33"/>
  <c r="F39" i="33"/>
  <c r="H39" i="33"/>
  <c r="E40" i="33"/>
  <c r="F40" i="33"/>
  <c r="H40" i="33"/>
  <c r="E41" i="33"/>
  <c r="F41" i="33"/>
  <c r="H41" i="33"/>
  <c r="E42" i="33"/>
  <c r="F42" i="33"/>
  <c r="H42" i="33"/>
  <c r="E43" i="33"/>
  <c r="F43" i="33"/>
  <c r="H43" i="33"/>
  <c r="E44" i="33"/>
  <c r="F44" i="33"/>
  <c r="H44" i="33"/>
  <c r="E45" i="33"/>
  <c r="F45" i="33"/>
  <c r="H45" i="33"/>
  <c r="E46" i="33"/>
  <c r="F46" i="33"/>
  <c r="H46" i="33"/>
  <c r="E47" i="33"/>
  <c r="F47" i="33"/>
  <c r="H47" i="33"/>
  <c r="E48" i="33"/>
  <c r="F48" i="33"/>
  <c r="H48" i="33"/>
  <c r="E49" i="33"/>
  <c r="F49" i="33"/>
  <c r="H49" i="33"/>
  <c r="E50" i="33"/>
  <c r="F50" i="33"/>
  <c r="H50" i="33"/>
  <c r="E51" i="33"/>
  <c r="F51" i="33"/>
  <c r="H51" i="33"/>
  <c r="E52" i="33"/>
  <c r="F52" i="33"/>
  <c r="H52" i="33"/>
  <c r="E53" i="33"/>
  <c r="F53" i="33"/>
  <c r="H53" i="33"/>
  <c r="E54" i="33"/>
  <c r="F54" i="33"/>
  <c r="H54" i="33"/>
  <c r="E55" i="33"/>
  <c r="F55" i="33"/>
  <c r="H55" i="33"/>
  <c r="E56" i="33"/>
  <c r="F56" i="33"/>
  <c r="H56" i="33"/>
  <c r="E57" i="33"/>
  <c r="F57" i="33"/>
  <c r="H57" i="33"/>
  <c r="E58" i="33"/>
  <c r="F58" i="33"/>
  <c r="H58" i="33"/>
  <c r="E59" i="33"/>
  <c r="F59" i="33"/>
  <c r="H59" i="33"/>
  <c r="E60" i="33"/>
  <c r="F60" i="33"/>
  <c r="H60" i="33"/>
  <c r="E61" i="33"/>
  <c r="F61" i="33"/>
  <c r="H61" i="33"/>
  <c r="E62" i="33"/>
  <c r="F62" i="33"/>
  <c r="H62" i="33"/>
  <c r="E63" i="33"/>
  <c r="F63" i="33"/>
  <c r="H63" i="33"/>
  <c r="E64" i="33"/>
  <c r="F64" i="33"/>
  <c r="H64" i="33"/>
  <c r="E65" i="33"/>
  <c r="F65" i="33"/>
  <c r="H65" i="33"/>
  <c r="E66" i="33"/>
  <c r="F66" i="33"/>
  <c r="H66" i="33"/>
  <c r="E67" i="33"/>
  <c r="F67" i="33"/>
  <c r="H67" i="33"/>
  <c r="E68" i="33"/>
  <c r="F68" i="33"/>
  <c r="H68" i="33"/>
  <c r="E69" i="33"/>
  <c r="F69" i="33"/>
  <c r="H69" i="33"/>
  <c r="E70" i="33"/>
  <c r="F70" i="33"/>
  <c r="H70" i="33"/>
  <c r="E71" i="33"/>
  <c r="F71" i="33"/>
  <c r="H71" i="33"/>
  <c r="E72" i="33"/>
  <c r="F72" i="33"/>
  <c r="H72" i="33"/>
  <c r="E73" i="33"/>
  <c r="F73" i="33"/>
  <c r="H73" i="33"/>
  <c r="E74" i="33"/>
  <c r="F74" i="33"/>
  <c r="H74" i="33"/>
  <c r="E75" i="33"/>
  <c r="F75" i="33"/>
  <c r="H75" i="33"/>
  <c r="E76" i="33"/>
  <c r="F76" i="33"/>
  <c r="H76" i="33"/>
  <c r="E77" i="33"/>
  <c r="F77" i="33"/>
  <c r="H77" i="33"/>
  <c r="E78" i="33"/>
  <c r="F78" i="33"/>
  <c r="H78" i="33"/>
  <c r="E79" i="33"/>
  <c r="F79" i="33"/>
  <c r="H79" i="33"/>
  <c r="E80" i="33"/>
  <c r="F80" i="33"/>
  <c r="H80" i="33"/>
  <c r="E81" i="33"/>
  <c r="F81" i="33"/>
  <c r="H81" i="33"/>
  <c r="E82" i="33"/>
  <c r="F82" i="33"/>
  <c r="H82" i="33"/>
  <c r="E83" i="33"/>
  <c r="F83" i="33"/>
  <c r="H83" i="33"/>
  <c r="E84" i="33"/>
  <c r="F84" i="33"/>
  <c r="H84" i="33"/>
  <c r="E85" i="33"/>
  <c r="F85" i="33"/>
  <c r="H85" i="33"/>
  <c r="E86" i="33"/>
  <c r="F86" i="33"/>
  <c r="H86" i="33"/>
  <c r="E87" i="33"/>
  <c r="F87" i="33"/>
  <c r="H87" i="33"/>
  <c r="E88" i="33"/>
  <c r="F88" i="33"/>
  <c r="H88" i="33"/>
  <c r="E89" i="33"/>
  <c r="F89" i="33"/>
  <c r="H89" i="33"/>
  <c r="E90" i="33"/>
  <c r="F90" i="33"/>
  <c r="H90" i="33"/>
  <c r="E91" i="33"/>
  <c r="F91" i="33"/>
  <c r="H91" i="33"/>
  <c r="E92" i="33"/>
  <c r="F92" i="33"/>
  <c r="H92" i="33"/>
  <c r="E93" i="33"/>
  <c r="F93" i="33"/>
  <c r="H93" i="33"/>
  <c r="E94" i="33"/>
  <c r="F94" i="33"/>
  <c r="H94" i="33"/>
  <c r="E95" i="33"/>
  <c r="F95" i="33"/>
  <c r="H95" i="33"/>
  <c r="E96" i="33"/>
  <c r="F96" i="33"/>
  <c r="H96" i="33"/>
  <c r="E97" i="33"/>
  <c r="F97" i="33"/>
  <c r="H97" i="33"/>
  <c r="E98" i="33"/>
  <c r="F98" i="33"/>
  <c r="H98" i="33"/>
  <c r="E99" i="33"/>
  <c r="F99" i="33"/>
  <c r="H99" i="33"/>
  <c r="E100" i="33"/>
  <c r="F100" i="33"/>
  <c r="H100" i="33"/>
  <c r="E101" i="33"/>
  <c r="F101" i="33"/>
  <c r="H101" i="33"/>
  <c r="E102" i="33"/>
  <c r="F102" i="33"/>
  <c r="H102" i="33"/>
  <c r="E103" i="33"/>
  <c r="F103" i="33"/>
  <c r="H103" i="33"/>
  <c r="E104" i="33"/>
  <c r="F104" i="33"/>
  <c r="H104" i="33"/>
  <c r="E105" i="33"/>
  <c r="F105" i="33"/>
  <c r="H105" i="33"/>
  <c r="E106" i="33"/>
  <c r="F106" i="33"/>
  <c r="H106" i="33"/>
  <c r="E107" i="33"/>
  <c r="F107" i="33"/>
  <c r="H107" i="33"/>
  <c r="E108" i="33"/>
  <c r="F108" i="33"/>
  <c r="H108" i="33"/>
  <c r="E109" i="33"/>
  <c r="F109" i="33"/>
  <c r="H109" i="33"/>
  <c r="E110" i="33"/>
  <c r="F110" i="33"/>
  <c r="H110" i="33"/>
  <c r="E111" i="33"/>
  <c r="F111" i="33"/>
  <c r="H111" i="33"/>
  <c r="E112" i="33"/>
  <c r="F112" i="33"/>
  <c r="H112" i="33"/>
  <c r="E113" i="33"/>
  <c r="F113" i="33"/>
  <c r="H113" i="33"/>
  <c r="E114" i="33"/>
  <c r="F114" i="33"/>
  <c r="H114" i="33"/>
  <c r="E115" i="33"/>
  <c r="F115" i="33"/>
  <c r="H115" i="33"/>
  <c r="E116" i="33"/>
  <c r="F116" i="33"/>
  <c r="H116" i="33"/>
  <c r="E117" i="33"/>
  <c r="F117" i="33"/>
  <c r="H117" i="33"/>
  <c r="E118" i="33"/>
  <c r="F118" i="33"/>
  <c r="H118" i="33"/>
  <c r="E119" i="33"/>
  <c r="F119" i="33"/>
  <c r="H119" i="33"/>
  <c r="E120" i="33"/>
  <c r="F120" i="33"/>
  <c r="H120" i="33"/>
  <c r="E121" i="33"/>
  <c r="F121" i="33"/>
  <c r="H121" i="33"/>
  <c r="E122" i="33"/>
  <c r="F122" i="33"/>
  <c r="H122" i="33"/>
  <c r="E123" i="33"/>
  <c r="F123" i="33"/>
  <c r="H123" i="33"/>
  <c r="E124" i="33"/>
  <c r="F124" i="33"/>
  <c r="H124" i="33"/>
  <c r="E125" i="33"/>
  <c r="F125" i="33"/>
  <c r="H125" i="33"/>
  <c r="E126" i="33"/>
  <c r="F126" i="33"/>
  <c r="H126" i="33"/>
  <c r="E127" i="33"/>
  <c r="F127" i="33"/>
  <c r="H127" i="33"/>
  <c r="E128" i="33"/>
  <c r="F128" i="33"/>
  <c r="H128" i="33"/>
  <c r="E129" i="33"/>
  <c r="F129" i="33"/>
  <c r="H129" i="33"/>
  <c r="E130" i="33"/>
  <c r="F130" i="33"/>
  <c r="H130" i="33"/>
  <c r="E131" i="33"/>
  <c r="F131" i="33"/>
  <c r="H131" i="33"/>
  <c r="E132" i="33"/>
  <c r="F132" i="33"/>
  <c r="H132" i="33"/>
  <c r="E133" i="33"/>
  <c r="F133" i="33"/>
  <c r="H133" i="33"/>
  <c r="E134" i="33"/>
  <c r="F134" i="33"/>
  <c r="H134" i="33"/>
  <c r="E135" i="33"/>
  <c r="F135" i="33"/>
  <c r="H135" i="33"/>
  <c r="E136" i="33"/>
  <c r="F136" i="33"/>
  <c r="H136" i="33"/>
  <c r="E137" i="33"/>
  <c r="F137" i="33"/>
  <c r="H137" i="33"/>
  <c r="E138" i="33"/>
  <c r="F138" i="33"/>
  <c r="H138" i="33"/>
  <c r="E139" i="33"/>
  <c r="F139" i="33"/>
  <c r="H139" i="33"/>
  <c r="E140" i="33"/>
  <c r="F140" i="33"/>
  <c r="H140" i="33"/>
  <c r="E141" i="33"/>
  <c r="F141" i="33"/>
  <c r="H141" i="33"/>
  <c r="E142" i="33"/>
  <c r="F142" i="33"/>
  <c r="H142" i="33"/>
  <c r="E143" i="33"/>
  <c r="F143" i="33"/>
  <c r="H143" i="33"/>
  <c r="E144" i="33"/>
  <c r="F144" i="33"/>
  <c r="H144" i="33"/>
  <c r="E145" i="33"/>
  <c r="F145" i="33"/>
  <c r="H145" i="33"/>
  <c r="E146" i="33"/>
  <c r="F146" i="33"/>
  <c r="H146" i="33"/>
  <c r="E147" i="33"/>
  <c r="F147" i="33"/>
  <c r="H147" i="33"/>
  <c r="E148" i="33"/>
  <c r="F148" i="33"/>
  <c r="H148" i="33"/>
  <c r="E149" i="33"/>
  <c r="F149" i="33"/>
  <c r="H149" i="33"/>
  <c r="E150" i="33"/>
  <c r="F150" i="33"/>
  <c r="H150" i="33"/>
  <c r="E151" i="33"/>
  <c r="F151" i="33"/>
  <c r="H151" i="33"/>
  <c r="E152" i="33"/>
  <c r="F152" i="33"/>
  <c r="H152" i="33"/>
  <c r="E153" i="33"/>
  <c r="F153" i="33"/>
  <c r="H153" i="33"/>
  <c r="E154" i="33"/>
  <c r="F154" i="33"/>
  <c r="H154" i="33"/>
  <c r="E155" i="33"/>
  <c r="F155" i="33"/>
  <c r="H155" i="33"/>
  <c r="E156" i="33"/>
  <c r="F156" i="33"/>
  <c r="H156" i="33"/>
  <c r="E157" i="33"/>
  <c r="F157" i="33"/>
  <c r="H157" i="33"/>
  <c r="E158" i="33"/>
  <c r="F158" i="33"/>
  <c r="H158" i="33"/>
  <c r="E159" i="33"/>
  <c r="F159" i="33"/>
  <c r="H159" i="33"/>
  <c r="E160" i="33"/>
  <c r="F160" i="33"/>
  <c r="H160" i="33"/>
  <c r="E161" i="33"/>
  <c r="F161" i="33"/>
  <c r="H161" i="33"/>
  <c r="E162" i="33"/>
  <c r="F162" i="33"/>
  <c r="H162" i="33"/>
  <c r="E163" i="33"/>
  <c r="F163" i="33"/>
  <c r="H163" i="33"/>
  <c r="E164" i="33"/>
  <c r="F164" i="33"/>
  <c r="H164" i="33"/>
  <c r="E165" i="33"/>
  <c r="F165" i="33"/>
  <c r="H165" i="33"/>
  <c r="E166" i="33"/>
  <c r="F166" i="33"/>
  <c r="H166" i="33"/>
  <c r="E167" i="33"/>
  <c r="F167" i="33"/>
  <c r="H167" i="33"/>
  <c r="E168" i="33"/>
  <c r="F168" i="33"/>
  <c r="H168" i="33"/>
  <c r="E169" i="33"/>
  <c r="F169" i="33"/>
  <c r="H169" i="33"/>
  <c r="E170" i="33"/>
  <c r="F170" i="33"/>
  <c r="H170" i="33"/>
  <c r="E171" i="33"/>
  <c r="F171" i="33"/>
  <c r="H171" i="33"/>
  <c r="E172" i="33"/>
  <c r="F172" i="33"/>
  <c r="H172" i="33"/>
  <c r="E173" i="33"/>
  <c r="F173" i="33"/>
  <c r="H173" i="33"/>
  <c r="E174" i="33"/>
  <c r="F174" i="33"/>
  <c r="H174" i="33"/>
  <c r="E175" i="33"/>
  <c r="F175" i="33"/>
  <c r="H175" i="33"/>
  <c r="E176" i="33"/>
  <c r="F176" i="33"/>
  <c r="H176" i="33"/>
  <c r="E177" i="33"/>
  <c r="F177" i="33"/>
  <c r="H177" i="33"/>
  <c r="E178" i="33"/>
  <c r="F178" i="33"/>
  <c r="H178" i="33"/>
  <c r="E179" i="33"/>
  <c r="F179" i="33"/>
  <c r="H179" i="33"/>
  <c r="E180" i="33"/>
  <c r="F180" i="33"/>
  <c r="H180" i="33"/>
  <c r="E181" i="33"/>
  <c r="F181" i="33"/>
  <c r="H181" i="33"/>
  <c r="E182" i="33"/>
  <c r="F182" i="33"/>
  <c r="H182" i="33"/>
  <c r="E183" i="33"/>
  <c r="F183" i="33"/>
  <c r="H183" i="33"/>
  <c r="E184" i="33"/>
  <c r="F184" i="33"/>
  <c r="H184" i="33"/>
  <c r="E185" i="33"/>
  <c r="F185" i="33"/>
  <c r="H185" i="33"/>
  <c r="E186" i="33"/>
  <c r="F186" i="33"/>
  <c r="H186" i="33"/>
  <c r="E187" i="33"/>
  <c r="F187" i="33"/>
  <c r="H187" i="33"/>
  <c r="E188" i="33"/>
  <c r="F188" i="33"/>
  <c r="H188" i="33"/>
  <c r="E189" i="33"/>
  <c r="F189" i="33"/>
  <c r="H189" i="33"/>
  <c r="E190" i="33"/>
  <c r="F190" i="33"/>
  <c r="H190" i="33"/>
  <c r="E191" i="33"/>
  <c r="F191" i="33"/>
  <c r="H191" i="33"/>
  <c r="E192" i="33"/>
  <c r="F192" i="33"/>
  <c r="H192" i="33"/>
  <c r="E193" i="33"/>
  <c r="F193" i="33"/>
  <c r="H193" i="33"/>
  <c r="E194" i="33"/>
  <c r="F194" i="33"/>
  <c r="H194" i="33"/>
  <c r="E195" i="33"/>
  <c r="F195" i="33"/>
  <c r="H195" i="33"/>
  <c r="E196" i="33"/>
  <c r="F196" i="33"/>
  <c r="H196" i="33"/>
  <c r="E197" i="33"/>
  <c r="F197" i="33"/>
  <c r="H197" i="33"/>
  <c r="E198" i="33"/>
  <c r="F198" i="33"/>
  <c r="H198" i="33"/>
  <c r="E199" i="33"/>
  <c r="F199" i="33"/>
  <c r="H199" i="33"/>
  <c r="E200" i="33"/>
  <c r="F200" i="33"/>
  <c r="H200" i="33"/>
  <c r="E201" i="33"/>
  <c r="F201" i="33"/>
  <c r="H201" i="33"/>
  <c r="E202" i="33"/>
  <c r="F202" i="33"/>
  <c r="H202" i="33"/>
  <c r="E203" i="33"/>
  <c r="F203" i="33"/>
  <c r="H203" i="33"/>
  <c r="E204" i="33"/>
  <c r="F204" i="33"/>
  <c r="H204" i="33"/>
  <c r="E205" i="33"/>
  <c r="F205" i="33"/>
  <c r="H205" i="33"/>
  <c r="E206" i="33"/>
  <c r="F206" i="33"/>
  <c r="H206" i="33"/>
  <c r="E207" i="33"/>
  <c r="F207" i="33"/>
  <c r="H207" i="33"/>
  <c r="E208" i="33"/>
  <c r="F208" i="33"/>
  <c r="H208" i="33"/>
  <c r="E209" i="33"/>
  <c r="F209" i="33"/>
  <c r="H209" i="33"/>
  <c r="E210" i="33"/>
  <c r="F210" i="33"/>
  <c r="H210" i="33"/>
  <c r="E211" i="33"/>
  <c r="F211" i="33"/>
  <c r="H211" i="33"/>
  <c r="E212" i="33"/>
  <c r="F212" i="33"/>
  <c r="H212" i="33"/>
  <c r="E213" i="33"/>
  <c r="F213" i="33"/>
  <c r="H213" i="33"/>
  <c r="E214" i="33"/>
  <c r="F214" i="33"/>
  <c r="H214" i="33"/>
  <c r="E215" i="33"/>
  <c r="F215" i="33"/>
  <c r="H215" i="33"/>
  <c r="E216" i="33"/>
  <c r="F216" i="33"/>
  <c r="H216" i="33"/>
  <c r="E217" i="33"/>
  <c r="F217" i="33"/>
  <c r="H217" i="33"/>
  <c r="E218" i="33"/>
  <c r="F218" i="33"/>
  <c r="H218" i="33"/>
  <c r="E219" i="33"/>
  <c r="F219" i="33"/>
  <c r="H219" i="33"/>
  <c r="E220" i="33"/>
  <c r="F220" i="33"/>
  <c r="H220" i="33"/>
  <c r="E221" i="33"/>
  <c r="F221" i="33"/>
  <c r="H221" i="33"/>
  <c r="E222" i="33"/>
  <c r="F222" i="33"/>
  <c r="H222" i="33"/>
  <c r="E223" i="33"/>
  <c r="F223" i="33"/>
  <c r="H223" i="33"/>
  <c r="E224" i="33"/>
  <c r="F224" i="33"/>
  <c r="H224" i="33"/>
  <c r="E225" i="33"/>
  <c r="F225" i="33"/>
  <c r="H225" i="33"/>
  <c r="E226" i="33"/>
  <c r="F226" i="33"/>
  <c r="H226" i="33"/>
  <c r="E227" i="33"/>
  <c r="F227" i="33"/>
  <c r="H227" i="33"/>
  <c r="E228" i="33"/>
  <c r="F228" i="33"/>
  <c r="H228" i="33"/>
  <c r="E229" i="33"/>
  <c r="F229" i="33"/>
  <c r="H229" i="33"/>
  <c r="E230" i="33"/>
  <c r="F230" i="33"/>
  <c r="H230" i="33"/>
  <c r="E231" i="33"/>
  <c r="F231" i="33"/>
  <c r="H231" i="33"/>
  <c r="E232" i="33"/>
  <c r="F232" i="33"/>
  <c r="H232" i="33"/>
  <c r="E233" i="33"/>
  <c r="F233" i="33"/>
  <c r="H233" i="33"/>
  <c r="E234" i="33"/>
  <c r="F234" i="33"/>
  <c r="H234" i="33"/>
  <c r="E235" i="33"/>
  <c r="F235" i="33"/>
  <c r="H235" i="33"/>
  <c r="E236" i="33"/>
  <c r="F236" i="33"/>
  <c r="H236" i="33"/>
  <c r="E237" i="33"/>
  <c r="F237" i="33"/>
  <c r="H237" i="33"/>
  <c r="E238" i="33"/>
  <c r="F238" i="33"/>
  <c r="H238" i="33"/>
  <c r="E239" i="33"/>
  <c r="F239" i="33"/>
  <c r="H239" i="33"/>
  <c r="E240" i="33"/>
  <c r="F240" i="33"/>
  <c r="H240" i="33"/>
  <c r="E241" i="33"/>
  <c r="F241" i="33"/>
  <c r="H241" i="33"/>
  <c r="E242" i="33"/>
  <c r="F242" i="33"/>
  <c r="H242" i="33"/>
  <c r="E243" i="33"/>
  <c r="F243" i="33"/>
  <c r="H243" i="33"/>
  <c r="E244" i="33"/>
  <c r="F244" i="33"/>
  <c r="H244" i="33"/>
  <c r="E245" i="33"/>
  <c r="F245" i="33"/>
  <c r="H245" i="33"/>
  <c r="E246" i="33"/>
  <c r="F246" i="33"/>
  <c r="H246" i="33"/>
  <c r="E247" i="33"/>
  <c r="F247" i="33"/>
  <c r="H247" i="33"/>
  <c r="E248" i="33"/>
  <c r="F248" i="33"/>
  <c r="H248" i="33"/>
  <c r="E249" i="33"/>
  <c r="F249" i="33"/>
  <c r="H249" i="33"/>
  <c r="E250" i="33"/>
  <c r="F250" i="33"/>
  <c r="H250" i="33"/>
  <c r="E251" i="33"/>
  <c r="F251" i="33"/>
  <c r="H251" i="33"/>
  <c r="E252" i="33"/>
  <c r="F252" i="33"/>
  <c r="H252" i="33"/>
  <c r="E253" i="33"/>
  <c r="F253" i="33"/>
  <c r="H253" i="33"/>
  <c r="E254" i="33"/>
  <c r="F254" i="33"/>
  <c r="H254" i="33"/>
  <c r="E255" i="33"/>
  <c r="F255" i="33"/>
  <c r="H255" i="33"/>
  <c r="E256" i="33"/>
  <c r="F256" i="33"/>
  <c r="H256" i="33"/>
  <c r="E257" i="33"/>
  <c r="F257" i="33"/>
  <c r="H257" i="33"/>
  <c r="E258" i="33"/>
  <c r="F258" i="33"/>
  <c r="H258" i="33"/>
  <c r="E259" i="33"/>
  <c r="F259" i="33"/>
  <c r="H259" i="33"/>
  <c r="E260" i="33"/>
  <c r="F260" i="33"/>
  <c r="H260" i="33"/>
  <c r="E261" i="33"/>
  <c r="F261" i="33"/>
  <c r="H261" i="33"/>
  <c r="E262" i="33"/>
  <c r="F262" i="33"/>
  <c r="H262" i="33"/>
  <c r="E263" i="33"/>
  <c r="F263" i="33"/>
  <c r="H263" i="33"/>
  <c r="E264" i="33"/>
  <c r="F264" i="33"/>
  <c r="H264" i="33"/>
  <c r="E265" i="33"/>
  <c r="F265" i="33"/>
  <c r="H265" i="33"/>
  <c r="E266" i="33"/>
  <c r="F266" i="33"/>
  <c r="H266" i="33"/>
  <c r="E267" i="33"/>
  <c r="F267" i="33"/>
  <c r="H267" i="33"/>
  <c r="E268" i="33"/>
  <c r="F268" i="33"/>
  <c r="H268" i="33"/>
  <c r="E269" i="33"/>
  <c r="F269" i="33"/>
  <c r="H269" i="33"/>
  <c r="E270" i="33"/>
  <c r="F270" i="33"/>
  <c r="H270" i="33"/>
  <c r="E271" i="33"/>
  <c r="F271" i="33"/>
  <c r="H271" i="33"/>
  <c r="E272" i="33"/>
  <c r="F272" i="33"/>
  <c r="H272" i="33"/>
  <c r="E273" i="33"/>
  <c r="F273" i="33"/>
  <c r="H273" i="33"/>
  <c r="E274" i="33"/>
  <c r="F274" i="33"/>
  <c r="H274" i="33"/>
  <c r="E275" i="33"/>
  <c r="F275" i="33"/>
  <c r="H275" i="33"/>
  <c r="E276" i="33"/>
  <c r="F276" i="33"/>
  <c r="H276" i="33"/>
  <c r="E277" i="33"/>
  <c r="F277" i="33"/>
  <c r="H277" i="33"/>
  <c r="E278" i="33"/>
  <c r="F278" i="33"/>
  <c r="H278" i="33"/>
  <c r="E279" i="33"/>
  <c r="F279" i="33"/>
  <c r="H279" i="33"/>
  <c r="E280" i="33"/>
  <c r="F280" i="33"/>
  <c r="H280" i="33"/>
  <c r="E281" i="33"/>
  <c r="F281" i="33"/>
  <c r="H281" i="33"/>
  <c r="E282" i="33"/>
  <c r="F282" i="33"/>
  <c r="H282" i="33"/>
  <c r="E283" i="33"/>
  <c r="F283" i="33"/>
  <c r="H283" i="33"/>
  <c r="E284" i="33"/>
  <c r="F284" i="33"/>
  <c r="H284" i="33"/>
  <c r="E285" i="33"/>
  <c r="F285" i="33"/>
  <c r="H285" i="33"/>
  <c r="E286" i="33"/>
  <c r="F286" i="33"/>
  <c r="H286" i="33"/>
  <c r="E287" i="33"/>
  <c r="F287" i="33"/>
  <c r="H287" i="33"/>
  <c r="E288" i="33"/>
  <c r="F288" i="33"/>
  <c r="H288" i="33"/>
  <c r="E289" i="33"/>
  <c r="F289" i="33"/>
  <c r="H289" i="33"/>
  <c r="E290" i="33"/>
  <c r="F290" i="33"/>
  <c r="H290" i="33"/>
  <c r="E291" i="33"/>
  <c r="F291" i="33"/>
  <c r="H291" i="33"/>
  <c r="E292" i="33"/>
  <c r="F292" i="33"/>
  <c r="H292" i="33"/>
  <c r="E293" i="33"/>
  <c r="F293" i="33"/>
  <c r="H293" i="33"/>
  <c r="E294" i="33"/>
  <c r="F294" i="33"/>
  <c r="H294" i="33"/>
  <c r="E295" i="33"/>
  <c r="F295" i="33"/>
  <c r="H295" i="33"/>
  <c r="E296" i="33"/>
  <c r="F296" i="33"/>
  <c r="H296" i="33"/>
  <c r="E297" i="33"/>
  <c r="F297" i="33"/>
  <c r="H297" i="33"/>
  <c r="E298" i="33"/>
  <c r="F298" i="33"/>
  <c r="H298" i="33"/>
  <c r="E299" i="33"/>
  <c r="F299" i="33"/>
  <c r="H299" i="33"/>
  <c r="E300" i="33"/>
  <c r="F300" i="33"/>
  <c r="H300" i="33"/>
  <c r="E301" i="33"/>
  <c r="F301" i="33"/>
  <c r="H301" i="33"/>
  <c r="E302" i="33"/>
  <c r="F302" i="33"/>
  <c r="H302" i="33"/>
  <c r="E303" i="33"/>
  <c r="F303" i="33"/>
  <c r="H303" i="33"/>
  <c r="E304" i="33"/>
  <c r="F304" i="33"/>
  <c r="H304" i="33"/>
  <c r="E305" i="33"/>
  <c r="F305" i="33"/>
  <c r="H305" i="33"/>
  <c r="E306" i="33"/>
  <c r="F306" i="33"/>
  <c r="H306" i="33"/>
  <c r="E307" i="33"/>
  <c r="F307" i="33"/>
  <c r="H307" i="33"/>
  <c r="E308" i="33"/>
  <c r="F308" i="33"/>
  <c r="H308" i="33"/>
  <c r="E309" i="33"/>
  <c r="F309" i="33"/>
  <c r="H309" i="33"/>
  <c r="E310" i="33"/>
  <c r="F310" i="33"/>
  <c r="H310" i="33"/>
  <c r="E311" i="33"/>
  <c r="F311" i="33"/>
  <c r="H311" i="33"/>
  <c r="E312" i="33"/>
  <c r="F312" i="33"/>
  <c r="H312" i="33"/>
  <c r="E313" i="33"/>
  <c r="F313" i="33"/>
  <c r="H313" i="33"/>
  <c r="E314" i="33"/>
  <c r="F314" i="33"/>
  <c r="H314" i="33"/>
  <c r="E315" i="33"/>
  <c r="F315" i="33"/>
  <c r="H315" i="33"/>
  <c r="E316" i="33"/>
  <c r="F316" i="33"/>
  <c r="H316" i="33"/>
  <c r="E317" i="33"/>
  <c r="F317" i="33"/>
  <c r="H317" i="33"/>
  <c r="E318" i="33"/>
  <c r="F318" i="33"/>
  <c r="H318" i="33"/>
  <c r="E319" i="33"/>
  <c r="F319" i="33"/>
  <c r="H319" i="33"/>
  <c r="E320" i="33"/>
  <c r="F320" i="33"/>
  <c r="H320" i="33"/>
  <c r="E321" i="33"/>
  <c r="F321" i="33"/>
  <c r="H321" i="33"/>
  <c r="E322" i="33"/>
  <c r="F322" i="33"/>
  <c r="H322" i="33"/>
  <c r="E323" i="33"/>
  <c r="F323" i="33"/>
  <c r="H323" i="33"/>
  <c r="E324" i="33"/>
  <c r="F324" i="33"/>
  <c r="H324" i="33"/>
  <c r="E325" i="33"/>
  <c r="F325" i="33"/>
  <c r="H325" i="33"/>
  <c r="E326" i="33"/>
  <c r="F326" i="33"/>
  <c r="H326" i="33"/>
  <c r="E327" i="33"/>
  <c r="F327" i="33"/>
  <c r="H327" i="33"/>
  <c r="E328" i="33"/>
  <c r="F328" i="33"/>
  <c r="H328" i="33"/>
  <c r="E329" i="33"/>
  <c r="F329" i="33"/>
  <c r="H329" i="33"/>
  <c r="E330" i="33"/>
  <c r="F330" i="33"/>
  <c r="H330" i="33"/>
  <c r="E331" i="33"/>
  <c r="F331" i="33"/>
  <c r="H331" i="33"/>
  <c r="E332" i="33"/>
  <c r="F332" i="33"/>
  <c r="H332" i="33"/>
  <c r="E333" i="33"/>
  <c r="F333" i="33"/>
  <c r="H333" i="33"/>
  <c r="E334" i="33"/>
  <c r="F334" i="33"/>
  <c r="H334" i="33"/>
  <c r="E335" i="33"/>
  <c r="F335" i="33"/>
  <c r="H335" i="33"/>
  <c r="E336" i="33"/>
  <c r="F336" i="33"/>
  <c r="H336" i="33"/>
  <c r="E337" i="33"/>
  <c r="F337" i="33"/>
  <c r="H337" i="33"/>
  <c r="E338" i="33"/>
  <c r="F338" i="33"/>
  <c r="H338" i="33"/>
  <c r="E339" i="33"/>
  <c r="F339" i="33"/>
  <c r="H339" i="33"/>
  <c r="E340" i="33"/>
  <c r="F340" i="33"/>
  <c r="H340" i="33"/>
  <c r="E341" i="33"/>
  <c r="F341" i="33"/>
  <c r="H341" i="33"/>
  <c r="E342" i="33"/>
  <c r="F342" i="33"/>
  <c r="H342" i="33"/>
  <c r="E343" i="33"/>
  <c r="F343" i="33"/>
  <c r="H343" i="33"/>
  <c r="E344" i="33"/>
  <c r="F344" i="33"/>
  <c r="H344" i="33"/>
  <c r="E345" i="33"/>
  <c r="F345" i="33"/>
  <c r="H345" i="33"/>
  <c r="E346" i="33"/>
  <c r="F346" i="33"/>
  <c r="H346" i="33"/>
  <c r="E347" i="33"/>
  <c r="F347" i="33"/>
  <c r="H347" i="33"/>
  <c r="E348" i="33"/>
  <c r="F348" i="33"/>
  <c r="H348" i="33"/>
  <c r="E349" i="33"/>
  <c r="F349" i="33"/>
  <c r="H349" i="33"/>
  <c r="E350" i="33"/>
  <c r="F350" i="33"/>
  <c r="H350" i="33"/>
  <c r="E351" i="33"/>
  <c r="F351" i="33"/>
  <c r="H351" i="33"/>
  <c r="E352" i="33"/>
  <c r="F352" i="33"/>
  <c r="H352" i="33"/>
  <c r="E353" i="33"/>
  <c r="F353" i="33"/>
  <c r="H353" i="33"/>
  <c r="E354" i="33"/>
  <c r="F354" i="33"/>
  <c r="H354" i="33"/>
  <c r="E355" i="33"/>
  <c r="F355" i="33"/>
  <c r="H355" i="33"/>
  <c r="E356" i="33"/>
  <c r="F356" i="33"/>
  <c r="H356" i="33"/>
  <c r="E357" i="33"/>
  <c r="F357" i="33"/>
  <c r="H357" i="33"/>
  <c r="E358" i="33"/>
  <c r="F358" i="33"/>
  <c r="H358" i="33"/>
  <c r="E359" i="33"/>
  <c r="F359" i="33"/>
  <c r="H359" i="33"/>
  <c r="E360" i="33"/>
  <c r="F360" i="33"/>
  <c r="H360" i="33"/>
  <c r="E361" i="33"/>
  <c r="F361" i="33"/>
  <c r="H361" i="33"/>
  <c r="E362" i="33"/>
  <c r="F362" i="33"/>
  <c r="H362" i="33"/>
  <c r="E363" i="33"/>
  <c r="F363" i="33"/>
  <c r="H363" i="33"/>
  <c r="E364" i="33"/>
  <c r="F364" i="33"/>
  <c r="H364" i="33"/>
  <c r="E365" i="33"/>
  <c r="F365" i="33"/>
  <c r="H365" i="33"/>
  <c r="E366" i="33"/>
  <c r="F366" i="33"/>
  <c r="H366" i="33"/>
  <c r="E367" i="33"/>
  <c r="F367" i="33"/>
  <c r="H367" i="33"/>
  <c r="E368" i="33"/>
  <c r="F368" i="33"/>
  <c r="H368" i="33"/>
  <c r="E369" i="33"/>
  <c r="F369" i="33"/>
  <c r="H369" i="33"/>
  <c r="E370" i="33"/>
  <c r="F370" i="33"/>
  <c r="H370" i="33"/>
  <c r="E371" i="33"/>
  <c r="F371" i="33"/>
  <c r="H371" i="33"/>
  <c r="E372" i="33"/>
  <c r="F372" i="33"/>
  <c r="H372" i="33"/>
  <c r="E373" i="33"/>
  <c r="F373" i="33"/>
  <c r="H373" i="33"/>
  <c r="E374" i="33"/>
  <c r="F374" i="33"/>
  <c r="H374" i="33"/>
  <c r="E375" i="33"/>
  <c r="F375" i="33"/>
  <c r="H375" i="33"/>
  <c r="E376" i="33"/>
  <c r="F376" i="33"/>
  <c r="H376" i="33"/>
  <c r="E377" i="33"/>
  <c r="F377" i="33"/>
  <c r="H377" i="33"/>
  <c r="E378" i="33"/>
  <c r="F378" i="33"/>
  <c r="H378" i="33"/>
  <c r="E379" i="33"/>
  <c r="F379" i="33"/>
  <c r="H379" i="33"/>
  <c r="E380" i="33"/>
  <c r="F380" i="33"/>
  <c r="H380" i="33"/>
  <c r="E381" i="33"/>
  <c r="F381" i="33"/>
  <c r="H381" i="33"/>
  <c r="E382" i="33"/>
  <c r="F382" i="33"/>
  <c r="H382" i="33"/>
  <c r="E383" i="33"/>
  <c r="F383" i="33"/>
  <c r="H383" i="33"/>
  <c r="E384" i="33"/>
  <c r="F384" i="33"/>
  <c r="H384" i="33"/>
  <c r="E385" i="33"/>
  <c r="F385" i="33"/>
  <c r="H385" i="33"/>
  <c r="E386" i="33"/>
  <c r="F386" i="33"/>
  <c r="H386" i="33"/>
  <c r="E387" i="33"/>
  <c r="F387" i="33"/>
  <c r="H387" i="33"/>
  <c r="E388" i="33"/>
  <c r="F388" i="33"/>
  <c r="H388" i="33"/>
  <c r="E389" i="33"/>
  <c r="F389" i="33"/>
  <c r="H389" i="33"/>
  <c r="E390" i="33"/>
  <c r="F390" i="33"/>
  <c r="H390" i="33"/>
  <c r="E391" i="33"/>
  <c r="F391" i="33"/>
  <c r="H391" i="33"/>
  <c r="E392" i="33"/>
  <c r="F392" i="33"/>
  <c r="H392" i="33"/>
  <c r="E393" i="33"/>
  <c r="F393" i="33"/>
  <c r="H393" i="33"/>
  <c r="E394" i="33"/>
  <c r="F394" i="33"/>
  <c r="H394" i="33"/>
  <c r="E395" i="33"/>
  <c r="F395" i="33"/>
  <c r="H395" i="33"/>
  <c r="E396" i="33"/>
  <c r="F396" i="33"/>
  <c r="H396" i="33"/>
  <c r="E397" i="33"/>
  <c r="F397" i="33"/>
  <c r="H397" i="33"/>
  <c r="E398" i="33"/>
  <c r="F398" i="33"/>
  <c r="H398" i="33"/>
  <c r="E399" i="33"/>
  <c r="F399" i="33"/>
  <c r="H399" i="33"/>
  <c r="E400" i="33"/>
  <c r="F400" i="33"/>
  <c r="H400" i="33"/>
  <c r="E401" i="33"/>
  <c r="F401" i="33"/>
  <c r="H401" i="33"/>
  <c r="E402" i="33"/>
  <c r="F402" i="33"/>
  <c r="H402" i="33"/>
  <c r="E403" i="33"/>
  <c r="F403" i="33"/>
  <c r="H403" i="33"/>
  <c r="E404" i="33"/>
  <c r="F404" i="33"/>
  <c r="H404" i="33"/>
  <c r="E405" i="33"/>
  <c r="F405" i="33"/>
  <c r="H405" i="33"/>
  <c r="E406" i="33"/>
  <c r="F406" i="33"/>
  <c r="H406" i="33"/>
  <c r="E407" i="33"/>
  <c r="F407" i="33"/>
  <c r="H407" i="33"/>
  <c r="E408" i="33"/>
  <c r="F408" i="33"/>
  <c r="H408" i="33"/>
  <c r="E409" i="33"/>
  <c r="F409" i="33"/>
  <c r="H409" i="33"/>
  <c r="E410" i="33"/>
  <c r="F410" i="33"/>
  <c r="H410" i="33"/>
  <c r="E411" i="33"/>
  <c r="F411" i="33"/>
  <c r="H411" i="33"/>
  <c r="E412" i="33"/>
  <c r="F412" i="33"/>
  <c r="H412" i="33"/>
  <c r="E413" i="33"/>
  <c r="F413" i="33"/>
  <c r="H413" i="33"/>
  <c r="E414" i="33"/>
  <c r="F414" i="33"/>
  <c r="H414" i="33"/>
  <c r="E415" i="33"/>
  <c r="F415" i="33"/>
  <c r="H415" i="33"/>
  <c r="E416" i="33"/>
  <c r="F416" i="33"/>
  <c r="H416" i="33"/>
  <c r="E417" i="33"/>
  <c r="F417" i="33"/>
  <c r="H417" i="33"/>
  <c r="E418" i="33"/>
  <c r="F418" i="33"/>
  <c r="H418" i="33"/>
  <c r="E419" i="33"/>
  <c r="F419" i="33"/>
  <c r="H419" i="33"/>
  <c r="E420" i="33"/>
  <c r="F420" i="33"/>
  <c r="H420" i="33"/>
  <c r="E421" i="33"/>
  <c r="F421" i="33"/>
  <c r="H421" i="33"/>
  <c r="E422" i="33"/>
  <c r="F422" i="33"/>
  <c r="H422" i="33"/>
  <c r="E423" i="33"/>
  <c r="F423" i="33"/>
  <c r="H423" i="33"/>
  <c r="E424" i="33"/>
  <c r="F424" i="33"/>
  <c r="H424" i="33"/>
  <c r="E425" i="33"/>
  <c r="F425" i="33"/>
  <c r="H425" i="33"/>
  <c r="E426" i="33"/>
  <c r="F426" i="33"/>
  <c r="H426" i="33"/>
  <c r="E427" i="33"/>
  <c r="F427" i="33"/>
  <c r="H427" i="33"/>
  <c r="E428" i="33"/>
  <c r="F428" i="33"/>
  <c r="H428" i="33"/>
  <c r="E429" i="33"/>
  <c r="F429" i="33"/>
  <c r="H429" i="33"/>
  <c r="E430" i="33"/>
  <c r="F430" i="33"/>
  <c r="H430" i="33"/>
  <c r="E431" i="33"/>
  <c r="F431" i="33"/>
  <c r="H431" i="33"/>
  <c r="E432" i="33"/>
  <c r="F432" i="33"/>
  <c r="H432" i="33"/>
  <c r="E433" i="33"/>
  <c r="F433" i="33"/>
  <c r="H433" i="33"/>
  <c r="E434" i="33"/>
  <c r="F434" i="33"/>
  <c r="H434" i="33"/>
  <c r="E435" i="33"/>
  <c r="F435" i="33"/>
  <c r="H435" i="33"/>
  <c r="E436" i="33"/>
  <c r="F436" i="33"/>
  <c r="H436" i="33"/>
  <c r="E437" i="33"/>
  <c r="F437" i="33"/>
  <c r="H437" i="33"/>
  <c r="E438" i="33"/>
  <c r="F438" i="33"/>
  <c r="H438" i="33"/>
  <c r="E439" i="33"/>
  <c r="F439" i="33"/>
  <c r="H439" i="33"/>
  <c r="E440" i="33"/>
  <c r="F440" i="33"/>
  <c r="H440" i="33"/>
  <c r="E441" i="33"/>
  <c r="F441" i="33"/>
  <c r="H441" i="33"/>
  <c r="E442" i="33"/>
  <c r="F442" i="33"/>
  <c r="H442" i="33"/>
  <c r="E443" i="33"/>
  <c r="F443" i="33"/>
  <c r="H443" i="33"/>
  <c r="E444" i="33"/>
  <c r="F444" i="33"/>
  <c r="H444" i="33"/>
  <c r="E445" i="33"/>
  <c r="F445" i="33"/>
  <c r="H445" i="33"/>
  <c r="E446" i="33"/>
  <c r="F446" i="33"/>
  <c r="H446" i="33"/>
  <c r="E447" i="33"/>
  <c r="F447" i="33"/>
  <c r="H447" i="33"/>
  <c r="E448" i="33"/>
  <c r="F448" i="33"/>
  <c r="H448" i="33"/>
  <c r="E449" i="33"/>
  <c r="F449" i="33"/>
  <c r="H449" i="33"/>
  <c r="E450" i="33"/>
  <c r="F450" i="33"/>
  <c r="H450" i="33"/>
  <c r="E451" i="33"/>
  <c r="F451" i="33"/>
  <c r="H451" i="33"/>
  <c r="E452" i="33"/>
  <c r="F452" i="33"/>
  <c r="H452" i="33"/>
  <c r="E453" i="33"/>
  <c r="F453" i="33"/>
  <c r="H453" i="33"/>
  <c r="E454" i="33"/>
  <c r="F454" i="33"/>
  <c r="H454" i="33"/>
  <c r="E455" i="33"/>
  <c r="F455" i="33"/>
  <c r="H455" i="33"/>
  <c r="E456" i="33"/>
  <c r="F456" i="33"/>
  <c r="H456" i="33"/>
  <c r="E457" i="33"/>
  <c r="F457" i="33"/>
  <c r="H457" i="33"/>
  <c r="E458" i="33"/>
  <c r="F458" i="33"/>
  <c r="H458" i="33"/>
  <c r="E459" i="33"/>
  <c r="F459" i="33"/>
  <c r="H459" i="33"/>
  <c r="E460" i="33"/>
  <c r="F460" i="33"/>
  <c r="H460" i="33"/>
  <c r="E461" i="33"/>
  <c r="F461" i="33"/>
  <c r="H461" i="33"/>
  <c r="E462" i="33"/>
  <c r="F462" i="33"/>
  <c r="H462" i="33"/>
  <c r="E463" i="33"/>
  <c r="F463" i="33"/>
  <c r="H463" i="33"/>
  <c r="E464" i="33"/>
  <c r="F464" i="33"/>
  <c r="H464" i="33"/>
  <c r="E465" i="33"/>
  <c r="F465" i="33"/>
  <c r="H465" i="33"/>
  <c r="E466" i="33"/>
  <c r="F466" i="33"/>
  <c r="H466" i="33"/>
  <c r="E467" i="33"/>
  <c r="F467" i="33"/>
  <c r="H467" i="33"/>
  <c r="E468" i="33"/>
  <c r="F468" i="33"/>
  <c r="H468" i="33"/>
  <c r="E469" i="33"/>
  <c r="F469" i="33"/>
  <c r="H469" i="33"/>
  <c r="E470" i="33"/>
  <c r="F470" i="33"/>
  <c r="H470" i="33"/>
  <c r="E471" i="33"/>
  <c r="F471" i="33"/>
  <c r="H471" i="33"/>
  <c r="E472" i="33"/>
  <c r="F472" i="33"/>
  <c r="H472" i="33"/>
  <c r="E473" i="33"/>
  <c r="F473" i="33"/>
  <c r="H473" i="33"/>
  <c r="E474" i="33"/>
  <c r="F474" i="33"/>
  <c r="H474" i="33"/>
  <c r="E475" i="33"/>
  <c r="F475" i="33"/>
  <c r="H475" i="33"/>
  <c r="E476" i="33"/>
  <c r="F476" i="33"/>
  <c r="H476" i="33"/>
  <c r="E477" i="33"/>
  <c r="F477" i="33"/>
  <c r="H477" i="33"/>
  <c r="E478" i="33"/>
  <c r="F478" i="33"/>
  <c r="H478" i="33"/>
  <c r="E479" i="33"/>
  <c r="F479" i="33"/>
  <c r="H479" i="33"/>
  <c r="E480" i="33"/>
  <c r="F480" i="33"/>
  <c r="H480" i="33"/>
  <c r="E481" i="33"/>
  <c r="F481" i="33"/>
  <c r="H481" i="33"/>
  <c r="E482" i="33"/>
  <c r="F482" i="33"/>
  <c r="H482" i="33"/>
  <c r="E483" i="33"/>
  <c r="F483" i="33"/>
  <c r="H483" i="33"/>
  <c r="E484" i="33"/>
  <c r="F484" i="33"/>
  <c r="H484" i="33"/>
  <c r="E485" i="33"/>
  <c r="F485" i="33"/>
  <c r="H485" i="33"/>
  <c r="E486" i="33"/>
  <c r="F486" i="33"/>
  <c r="H486" i="33"/>
  <c r="E487" i="33"/>
  <c r="F487" i="33"/>
  <c r="H487" i="33"/>
  <c r="E488" i="33"/>
  <c r="F488" i="33"/>
  <c r="H488" i="33"/>
  <c r="E489" i="33"/>
  <c r="F489" i="33"/>
  <c r="H489" i="33"/>
  <c r="E490" i="33"/>
  <c r="F490" i="33"/>
  <c r="H490" i="33"/>
  <c r="E491" i="33"/>
  <c r="F491" i="33"/>
  <c r="H491" i="33"/>
  <c r="E492" i="33"/>
  <c r="F492" i="33"/>
  <c r="H492" i="33"/>
  <c r="E493" i="33"/>
  <c r="F493" i="33"/>
  <c r="H493" i="33"/>
  <c r="E494" i="33"/>
  <c r="F494" i="33"/>
  <c r="H494" i="33"/>
  <c r="E495" i="33"/>
  <c r="F495" i="33"/>
  <c r="H495" i="33"/>
  <c r="E496" i="33"/>
  <c r="F496" i="33"/>
  <c r="H496" i="33"/>
  <c r="E497" i="33"/>
  <c r="F497" i="33"/>
  <c r="H497" i="33"/>
  <c r="E498" i="33"/>
  <c r="F498" i="33"/>
  <c r="H498" i="33"/>
  <c r="E499" i="33"/>
  <c r="F499" i="33"/>
  <c r="H499" i="33"/>
  <c r="E500" i="33"/>
  <c r="F500" i="33"/>
  <c r="H500" i="33"/>
  <c r="E501" i="33"/>
  <c r="F501" i="33"/>
  <c r="H501" i="33"/>
  <c r="E502" i="33"/>
  <c r="F502" i="33"/>
  <c r="H502" i="33"/>
  <c r="E503" i="33"/>
  <c r="F503" i="33"/>
  <c r="H503" i="33"/>
  <c r="E504" i="33"/>
  <c r="F504" i="33"/>
  <c r="H504" i="33"/>
  <c r="E505" i="33"/>
  <c r="F505" i="33"/>
  <c r="H505" i="33"/>
  <c r="E506" i="33"/>
  <c r="F506" i="33"/>
  <c r="H506" i="33"/>
  <c r="E507" i="33"/>
  <c r="F507" i="33"/>
  <c r="H507" i="33"/>
  <c r="E508" i="33"/>
  <c r="F508" i="33"/>
  <c r="H508" i="33"/>
  <c r="E509" i="33"/>
  <c r="F509" i="33"/>
  <c r="H509" i="33"/>
  <c r="E510" i="33"/>
  <c r="F510" i="33"/>
  <c r="H510" i="33"/>
  <c r="E511" i="33"/>
  <c r="F511" i="33"/>
  <c r="H511" i="33"/>
  <c r="E512" i="33"/>
  <c r="F512" i="33"/>
  <c r="H512" i="33"/>
  <c r="E513" i="33"/>
  <c r="F513" i="33"/>
  <c r="H513" i="33"/>
  <c r="E514" i="33"/>
  <c r="F514" i="33"/>
  <c r="H514" i="33"/>
  <c r="E515" i="33"/>
  <c r="F515" i="33"/>
  <c r="H515" i="33"/>
  <c r="E516" i="33"/>
  <c r="F516" i="33"/>
  <c r="H516" i="33"/>
  <c r="E517" i="33"/>
  <c r="F517" i="33"/>
  <c r="H517" i="33"/>
  <c r="E518" i="33"/>
  <c r="F518" i="33"/>
  <c r="H518" i="33"/>
  <c r="E519" i="33"/>
  <c r="F519" i="33"/>
  <c r="H519" i="33"/>
  <c r="E520" i="33"/>
  <c r="F520" i="33"/>
  <c r="H520" i="33"/>
  <c r="E521" i="33"/>
  <c r="F521" i="33"/>
  <c r="H521" i="33"/>
  <c r="E522" i="33"/>
  <c r="F522" i="33"/>
  <c r="H522" i="33"/>
  <c r="E523" i="33"/>
  <c r="F523" i="33"/>
  <c r="H523" i="33"/>
  <c r="E524" i="33"/>
  <c r="F524" i="33"/>
  <c r="H524" i="33"/>
  <c r="E525" i="33"/>
  <c r="F525" i="33"/>
  <c r="H525" i="33"/>
  <c r="E526" i="33"/>
  <c r="F526" i="33"/>
  <c r="H526" i="33"/>
  <c r="E527" i="33"/>
  <c r="F527" i="33"/>
  <c r="H527" i="33"/>
  <c r="E528" i="33"/>
  <c r="F528" i="33"/>
  <c r="H528" i="33"/>
  <c r="E529" i="33"/>
  <c r="F529" i="33"/>
  <c r="H529" i="33"/>
  <c r="E530" i="33"/>
  <c r="F530" i="33"/>
  <c r="H530" i="33"/>
  <c r="E531" i="33"/>
  <c r="F531" i="33"/>
  <c r="H531" i="33"/>
  <c r="E532" i="33"/>
  <c r="F532" i="33"/>
  <c r="H532" i="33"/>
  <c r="E533" i="33"/>
  <c r="F533" i="33"/>
  <c r="H533" i="33"/>
  <c r="E534" i="33"/>
  <c r="F534" i="33"/>
  <c r="H534" i="33"/>
  <c r="E535" i="33"/>
  <c r="F535" i="33"/>
  <c r="H535" i="33"/>
  <c r="E536" i="33"/>
  <c r="F536" i="33"/>
  <c r="H536" i="33"/>
  <c r="E537" i="33"/>
  <c r="F537" i="33"/>
  <c r="H537" i="33"/>
  <c r="E538" i="33"/>
  <c r="F538" i="33"/>
  <c r="H538" i="33"/>
  <c r="E539" i="33"/>
  <c r="F539" i="33"/>
  <c r="H539" i="33"/>
  <c r="E540" i="33"/>
  <c r="F540" i="33"/>
  <c r="H540" i="33"/>
  <c r="E541" i="33"/>
  <c r="F541" i="33"/>
  <c r="H541" i="33"/>
  <c r="E542" i="33"/>
  <c r="F542" i="33"/>
  <c r="H542" i="33"/>
  <c r="E543" i="33"/>
  <c r="F543" i="33"/>
  <c r="H543" i="33"/>
  <c r="E544" i="33"/>
  <c r="F544" i="33"/>
  <c r="H544" i="33"/>
  <c r="E545" i="33"/>
  <c r="F545" i="33"/>
  <c r="H545" i="33"/>
  <c r="E546" i="33"/>
  <c r="F546" i="33"/>
  <c r="H546" i="33"/>
  <c r="E547" i="33"/>
  <c r="F547" i="33"/>
  <c r="H547" i="33"/>
  <c r="E548" i="33"/>
  <c r="F548" i="33"/>
  <c r="H548" i="33"/>
  <c r="E549" i="33"/>
  <c r="F549" i="33"/>
  <c r="H549" i="33"/>
  <c r="E550" i="33"/>
  <c r="F550" i="33"/>
  <c r="H550" i="33"/>
  <c r="E551" i="33"/>
  <c r="F551" i="33"/>
  <c r="H551" i="33"/>
  <c r="E552" i="33"/>
  <c r="F552" i="33"/>
  <c r="H552" i="33"/>
  <c r="E553" i="33"/>
  <c r="F553" i="33"/>
  <c r="H553" i="33"/>
  <c r="E554" i="33"/>
  <c r="F554" i="33"/>
  <c r="H554" i="33"/>
  <c r="E555" i="33"/>
  <c r="F555" i="33"/>
  <c r="H555" i="33"/>
  <c r="E556" i="33"/>
  <c r="F556" i="33"/>
  <c r="H556" i="33"/>
  <c r="E557" i="33"/>
  <c r="F557" i="33"/>
  <c r="H557" i="33"/>
  <c r="E558" i="33"/>
  <c r="F558" i="33"/>
  <c r="H558" i="33"/>
  <c r="E559" i="33"/>
  <c r="F559" i="33"/>
  <c r="H559" i="33"/>
  <c r="E560" i="33"/>
  <c r="F560" i="33"/>
  <c r="H560" i="33"/>
  <c r="E561" i="33"/>
  <c r="F561" i="33"/>
  <c r="H561" i="33"/>
  <c r="E562" i="33"/>
  <c r="F562" i="33"/>
  <c r="H562" i="33"/>
  <c r="E563" i="33"/>
  <c r="F563" i="33"/>
  <c r="H563" i="33"/>
  <c r="E564" i="33"/>
  <c r="F564" i="33"/>
  <c r="H564" i="33"/>
  <c r="E565" i="33"/>
  <c r="F565" i="33"/>
  <c r="H565" i="33"/>
  <c r="E566" i="33"/>
  <c r="F566" i="33"/>
  <c r="H566" i="33"/>
  <c r="E567" i="33"/>
  <c r="F567" i="33"/>
  <c r="H567" i="33"/>
  <c r="E568" i="33"/>
  <c r="F568" i="33"/>
  <c r="H568" i="33"/>
  <c r="E569" i="33"/>
  <c r="F569" i="33"/>
  <c r="H569" i="33"/>
  <c r="E570" i="33"/>
  <c r="F570" i="33"/>
  <c r="H570" i="33"/>
  <c r="E571" i="33"/>
  <c r="F571" i="33"/>
  <c r="H571" i="33"/>
  <c r="E572" i="33"/>
  <c r="F572" i="33"/>
  <c r="H572" i="33"/>
  <c r="E573" i="33"/>
  <c r="F573" i="33"/>
  <c r="H573" i="33"/>
  <c r="E574" i="33"/>
  <c r="F574" i="33"/>
  <c r="H574" i="33"/>
  <c r="E575" i="33"/>
  <c r="F575" i="33"/>
  <c r="H575" i="33"/>
  <c r="E576" i="33"/>
  <c r="F576" i="33"/>
  <c r="H576" i="33"/>
  <c r="E577" i="33"/>
  <c r="F577" i="33"/>
  <c r="H577" i="33"/>
  <c r="E578" i="33"/>
  <c r="F578" i="33"/>
  <c r="H578" i="33"/>
  <c r="E579" i="33"/>
  <c r="F579" i="33"/>
  <c r="H579" i="33"/>
  <c r="E580" i="33"/>
  <c r="F580" i="33"/>
  <c r="H580" i="33"/>
  <c r="E581" i="33"/>
  <c r="F581" i="33"/>
  <c r="H581" i="33"/>
  <c r="E582" i="33"/>
  <c r="F582" i="33"/>
  <c r="H582" i="33"/>
  <c r="E583" i="33"/>
  <c r="F583" i="33"/>
  <c r="H583" i="33"/>
  <c r="E584" i="33"/>
  <c r="F584" i="33"/>
  <c r="H584" i="33"/>
  <c r="E585" i="33"/>
  <c r="F585" i="33"/>
  <c r="H585" i="33"/>
  <c r="E586" i="33"/>
  <c r="F586" i="33"/>
  <c r="H586" i="33"/>
  <c r="E587" i="33"/>
  <c r="F587" i="33"/>
  <c r="H587" i="33"/>
  <c r="E588" i="33"/>
  <c r="F588" i="33"/>
  <c r="H588" i="33"/>
  <c r="E589" i="33"/>
  <c r="F589" i="33"/>
  <c r="H589" i="33"/>
  <c r="E590" i="33"/>
  <c r="F590" i="33"/>
  <c r="H590" i="33"/>
  <c r="E591" i="33"/>
  <c r="F591" i="33"/>
  <c r="H591" i="33"/>
  <c r="E592" i="33"/>
  <c r="F592" i="33"/>
  <c r="H592" i="33"/>
  <c r="E593" i="33"/>
  <c r="F593" i="33"/>
  <c r="H593" i="33"/>
  <c r="E594" i="33"/>
  <c r="F594" i="33"/>
  <c r="H594" i="33"/>
  <c r="E595" i="33"/>
  <c r="F595" i="33"/>
  <c r="H595" i="33"/>
  <c r="E596" i="33"/>
  <c r="F596" i="33"/>
  <c r="H596" i="33"/>
  <c r="E597" i="33"/>
  <c r="F597" i="33"/>
  <c r="H597" i="33"/>
  <c r="E598" i="33"/>
  <c r="F598" i="33"/>
  <c r="H598" i="33"/>
  <c r="E599" i="33"/>
  <c r="F599" i="33"/>
  <c r="H599" i="33"/>
  <c r="E600" i="33"/>
  <c r="F600" i="33"/>
  <c r="H600" i="33"/>
  <c r="E601" i="33"/>
  <c r="F601" i="33"/>
  <c r="H601" i="33"/>
  <c r="E602" i="33"/>
  <c r="F602" i="33"/>
  <c r="H602" i="33"/>
  <c r="E603" i="33"/>
  <c r="F603" i="33"/>
  <c r="H603" i="33"/>
  <c r="E604" i="33"/>
  <c r="F604" i="33"/>
  <c r="H604" i="33"/>
  <c r="E605" i="33"/>
  <c r="F605" i="33"/>
  <c r="H605" i="33"/>
  <c r="E606" i="33"/>
  <c r="F606" i="33"/>
  <c r="H606" i="33"/>
  <c r="E607" i="33"/>
  <c r="F607" i="33"/>
  <c r="H607" i="33"/>
  <c r="E608" i="33"/>
  <c r="F608" i="33"/>
  <c r="H608" i="33"/>
  <c r="E609" i="33"/>
  <c r="F609" i="33"/>
  <c r="H609" i="33"/>
  <c r="E610" i="33"/>
  <c r="F610" i="33"/>
  <c r="H610" i="33"/>
  <c r="E611" i="33"/>
  <c r="F611" i="33"/>
  <c r="H611" i="33"/>
  <c r="E612" i="33"/>
  <c r="F612" i="33"/>
  <c r="H612" i="33"/>
  <c r="E613" i="33"/>
  <c r="F613" i="33"/>
  <c r="H613" i="33"/>
  <c r="E614" i="33"/>
  <c r="F614" i="33"/>
  <c r="H614" i="33"/>
  <c r="E615" i="33"/>
  <c r="F615" i="33"/>
  <c r="H615" i="33"/>
  <c r="E616" i="33"/>
  <c r="F616" i="33"/>
  <c r="H616" i="33"/>
  <c r="E617" i="33"/>
  <c r="F617" i="33"/>
  <c r="H617" i="33"/>
  <c r="E618" i="33"/>
  <c r="F618" i="33"/>
  <c r="H618" i="33"/>
  <c r="E619" i="33"/>
  <c r="F619" i="33"/>
  <c r="H619" i="33"/>
  <c r="E620" i="33"/>
  <c r="F620" i="33"/>
  <c r="H620" i="33"/>
  <c r="E621" i="33"/>
  <c r="F621" i="33"/>
  <c r="H621" i="33"/>
  <c r="E622" i="33"/>
  <c r="F622" i="33"/>
  <c r="H622" i="33"/>
  <c r="E623" i="33"/>
  <c r="F623" i="33"/>
  <c r="H623" i="33"/>
  <c r="E624" i="33"/>
  <c r="F624" i="33"/>
  <c r="H624" i="33"/>
  <c r="E625" i="33"/>
  <c r="F625" i="33"/>
  <c r="H625" i="33"/>
  <c r="E626" i="33"/>
  <c r="F626" i="33"/>
  <c r="H626" i="33"/>
  <c r="E627" i="33"/>
  <c r="F627" i="33"/>
  <c r="H627" i="33"/>
  <c r="E628" i="33"/>
  <c r="F628" i="33"/>
  <c r="H628" i="33"/>
  <c r="E629" i="33"/>
  <c r="F629" i="33"/>
  <c r="H629" i="33"/>
  <c r="E630" i="33"/>
  <c r="F630" i="33"/>
  <c r="H630" i="33"/>
  <c r="E631" i="33"/>
  <c r="F631" i="33"/>
  <c r="H631" i="33"/>
  <c r="E632" i="33"/>
  <c r="F632" i="33"/>
  <c r="H632" i="33"/>
  <c r="E633" i="33"/>
  <c r="F633" i="33"/>
  <c r="H633" i="33"/>
  <c r="E634" i="33"/>
  <c r="F634" i="33"/>
  <c r="H634" i="33"/>
  <c r="E635" i="33"/>
  <c r="F635" i="33"/>
  <c r="H635" i="33"/>
  <c r="E636" i="33"/>
  <c r="F636" i="33"/>
  <c r="H636" i="33"/>
  <c r="E637" i="33"/>
  <c r="F637" i="33"/>
  <c r="H637" i="33"/>
  <c r="E638" i="33"/>
  <c r="F638" i="33"/>
  <c r="H638" i="33"/>
  <c r="E639" i="33"/>
  <c r="F639" i="33"/>
  <c r="H639" i="33"/>
  <c r="E640" i="33"/>
  <c r="F640" i="33"/>
  <c r="H640" i="33"/>
  <c r="E641" i="33"/>
  <c r="F641" i="33"/>
  <c r="H641" i="33"/>
  <c r="E642" i="33"/>
  <c r="F642" i="33"/>
  <c r="H642" i="33"/>
  <c r="E643" i="33"/>
  <c r="F643" i="33"/>
  <c r="H643" i="33"/>
  <c r="E644" i="33"/>
  <c r="F644" i="33"/>
  <c r="H644" i="33"/>
  <c r="E645" i="33"/>
  <c r="F645" i="33"/>
  <c r="H645" i="33"/>
  <c r="E646" i="33"/>
  <c r="F646" i="33"/>
  <c r="H646" i="33"/>
  <c r="E647" i="33"/>
  <c r="F647" i="33"/>
  <c r="H647" i="33"/>
  <c r="E648" i="33"/>
  <c r="F648" i="33"/>
  <c r="H648" i="33"/>
  <c r="E649" i="33"/>
  <c r="F649" i="33"/>
  <c r="H649" i="33"/>
  <c r="E650" i="33"/>
  <c r="F650" i="33"/>
  <c r="H650" i="33"/>
  <c r="E651" i="33"/>
  <c r="F651" i="33"/>
  <c r="H651" i="33"/>
  <c r="E652" i="33"/>
  <c r="F652" i="33"/>
  <c r="H652" i="33"/>
  <c r="E653" i="33"/>
  <c r="F653" i="33"/>
  <c r="H653" i="33"/>
  <c r="E654" i="33"/>
  <c r="F654" i="33"/>
  <c r="H654" i="33"/>
  <c r="E655" i="33"/>
  <c r="F655" i="33"/>
  <c r="H655" i="33"/>
  <c r="E656" i="33"/>
  <c r="F656" i="33"/>
  <c r="H656" i="33"/>
  <c r="E657" i="33"/>
  <c r="F657" i="33"/>
  <c r="H657" i="33"/>
  <c r="E658" i="33"/>
  <c r="F658" i="33"/>
  <c r="H658" i="33"/>
  <c r="E659" i="33"/>
  <c r="F659" i="33"/>
  <c r="H659" i="33"/>
  <c r="E660" i="33"/>
  <c r="F660" i="33"/>
  <c r="H660" i="33"/>
  <c r="E661" i="33"/>
  <c r="F661" i="33"/>
  <c r="H661" i="33"/>
  <c r="E662" i="33"/>
  <c r="F662" i="33"/>
  <c r="H662" i="33"/>
  <c r="E663" i="33"/>
  <c r="F663" i="33"/>
  <c r="H663" i="33"/>
  <c r="E664" i="33"/>
  <c r="F664" i="33"/>
  <c r="H664" i="33"/>
  <c r="E665" i="33"/>
  <c r="F665" i="33"/>
  <c r="H665" i="33"/>
  <c r="E666" i="33"/>
  <c r="F666" i="33"/>
  <c r="H666" i="33"/>
  <c r="E667" i="33"/>
  <c r="F667" i="33"/>
  <c r="H667" i="33"/>
  <c r="E668" i="33"/>
  <c r="F668" i="33"/>
  <c r="H668" i="33"/>
  <c r="E669" i="33"/>
  <c r="F669" i="33"/>
  <c r="H669" i="33"/>
  <c r="E670" i="33"/>
  <c r="F670" i="33"/>
  <c r="H670" i="33"/>
  <c r="E671" i="33"/>
  <c r="F671" i="33"/>
  <c r="H671" i="33"/>
  <c r="E672" i="33"/>
  <c r="F672" i="33"/>
  <c r="H672" i="33"/>
  <c r="E673" i="33"/>
  <c r="F673" i="33"/>
  <c r="H673" i="33"/>
  <c r="E674" i="33"/>
  <c r="F674" i="33"/>
  <c r="H674" i="33"/>
  <c r="E675" i="33"/>
  <c r="F675" i="33"/>
  <c r="H675" i="33"/>
  <c r="E676" i="33"/>
  <c r="F676" i="33"/>
  <c r="H676" i="33"/>
  <c r="E677" i="33"/>
  <c r="F677" i="33"/>
  <c r="H677" i="33"/>
  <c r="E678" i="33"/>
  <c r="F678" i="33"/>
  <c r="H678" i="33"/>
  <c r="E679" i="33"/>
  <c r="F679" i="33"/>
  <c r="H679" i="33"/>
  <c r="E680" i="33"/>
  <c r="F680" i="33"/>
  <c r="H680" i="33"/>
  <c r="E681" i="33"/>
  <c r="F681" i="33"/>
  <c r="H681" i="33"/>
  <c r="E682" i="33"/>
  <c r="F682" i="33"/>
  <c r="H682" i="33"/>
  <c r="E683" i="33"/>
  <c r="F683" i="33"/>
  <c r="H683" i="33"/>
  <c r="E684" i="33"/>
  <c r="F684" i="33"/>
  <c r="H684" i="33"/>
  <c r="E685" i="33"/>
  <c r="F685" i="33"/>
  <c r="H685" i="33"/>
  <c r="E686" i="33"/>
  <c r="F686" i="33"/>
  <c r="H686" i="33"/>
  <c r="E687" i="33"/>
  <c r="F687" i="33"/>
  <c r="H687" i="33"/>
  <c r="E688" i="33"/>
  <c r="F688" i="33"/>
  <c r="H688" i="33"/>
  <c r="E689" i="33"/>
  <c r="F689" i="33"/>
  <c r="H689" i="33"/>
  <c r="E690" i="33"/>
  <c r="F690" i="33"/>
  <c r="H690" i="33"/>
  <c r="E691" i="33"/>
  <c r="F691" i="33"/>
  <c r="H691" i="33"/>
  <c r="E692" i="33"/>
  <c r="F692" i="33"/>
  <c r="H692" i="33"/>
  <c r="E693" i="33"/>
  <c r="F693" i="33"/>
  <c r="H693" i="33"/>
  <c r="E694" i="33"/>
  <c r="F694" i="33"/>
  <c r="H694" i="33"/>
  <c r="E695" i="33"/>
  <c r="F695" i="33"/>
  <c r="H695" i="33"/>
  <c r="E696" i="33"/>
  <c r="F696" i="33"/>
  <c r="H696" i="33"/>
  <c r="E697" i="33"/>
  <c r="F697" i="33"/>
  <c r="H697" i="33"/>
  <c r="E698" i="33"/>
  <c r="F698" i="33"/>
  <c r="H698" i="33"/>
  <c r="E699" i="33"/>
  <c r="F699" i="33"/>
  <c r="H699" i="33"/>
  <c r="E700" i="33"/>
  <c r="F700" i="33"/>
  <c r="H700" i="33"/>
  <c r="E701" i="33"/>
  <c r="F701" i="33"/>
  <c r="H701" i="33"/>
  <c r="E702" i="33"/>
  <c r="F702" i="33"/>
  <c r="H702" i="33"/>
  <c r="E703" i="33"/>
  <c r="F703" i="33"/>
  <c r="H703" i="33"/>
  <c r="E704" i="33"/>
  <c r="F704" i="33"/>
  <c r="H704" i="33"/>
  <c r="E705" i="33"/>
  <c r="F705" i="33"/>
  <c r="H705" i="33"/>
  <c r="E706" i="33"/>
  <c r="F706" i="33"/>
  <c r="H706" i="33"/>
  <c r="E707" i="33"/>
  <c r="F707" i="33"/>
  <c r="H707" i="33"/>
  <c r="E708" i="33"/>
  <c r="F708" i="33"/>
  <c r="H708" i="33"/>
  <c r="E709" i="33"/>
  <c r="F709" i="33"/>
  <c r="H709" i="33"/>
  <c r="E710" i="33"/>
  <c r="F710" i="33"/>
  <c r="H710" i="33"/>
  <c r="E711" i="33"/>
  <c r="F711" i="33"/>
  <c r="H711" i="33"/>
  <c r="E712" i="33"/>
  <c r="F712" i="33"/>
  <c r="H712" i="33"/>
  <c r="E713" i="33"/>
  <c r="F713" i="33"/>
  <c r="H713" i="33"/>
  <c r="E714" i="33"/>
  <c r="F714" i="33"/>
  <c r="H714" i="33"/>
  <c r="E715" i="33"/>
  <c r="F715" i="33"/>
  <c r="H715" i="33"/>
  <c r="E716" i="33"/>
  <c r="F716" i="33"/>
  <c r="H716" i="33"/>
  <c r="E717" i="33"/>
  <c r="F717" i="33"/>
  <c r="H717" i="33"/>
  <c r="E718" i="33"/>
  <c r="F718" i="33"/>
  <c r="H718" i="33"/>
  <c r="E719" i="33"/>
  <c r="F719" i="33"/>
  <c r="H719" i="33"/>
  <c r="E720" i="33"/>
  <c r="F720" i="33"/>
  <c r="H720" i="33"/>
  <c r="E721" i="33"/>
  <c r="F721" i="33"/>
  <c r="H721" i="33"/>
  <c r="E722" i="33"/>
  <c r="F722" i="33"/>
  <c r="H722" i="33"/>
  <c r="E723" i="33"/>
  <c r="F723" i="33"/>
  <c r="H723" i="33"/>
  <c r="E724" i="33"/>
  <c r="F724" i="33"/>
  <c r="H724" i="33"/>
  <c r="E725" i="33"/>
  <c r="F725" i="33"/>
  <c r="H725" i="33"/>
  <c r="E726" i="33"/>
  <c r="F726" i="33"/>
  <c r="H726" i="33"/>
  <c r="E727" i="33"/>
  <c r="F727" i="33"/>
  <c r="H727" i="33"/>
  <c r="E728" i="33"/>
  <c r="F728" i="33"/>
  <c r="H728" i="33"/>
  <c r="E729" i="33"/>
  <c r="F729" i="33"/>
  <c r="H729" i="33"/>
  <c r="E730" i="33"/>
  <c r="F730" i="33"/>
  <c r="H730" i="33"/>
  <c r="E731" i="33"/>
  <c r="F731" i="33"/>
  <c r="H731" i="33"/>
  <c r="E732" i="33"/>
  <c r="F732" i="33"/>
  <c r="H732" i="33"/>
  <c r="E733" i="33"/>
  <c r="F733" i="33"/>
  <c r="H733" i="33"/>
  <c r="E734" i="33"/>
  <c r="F734" i="33"/>
  <c r="H734" i="33"/>
  <c r="E735" i="33"/>
  <c r="F735" i="33"/>
  <c r="H735" i="33"/>
  <c r="E736" i="33"/>
  <c r="F736" i="33"/>
  <c r="H736" i="33"/>
  <c r="E737" i="33"/>
  <c r="F737" i="33"/>
  <c r="H737" i="33"/>
  <c r="E738" i="33"/>
  <c r="F738" i="33"/>
  <c r="H738" i="33"/>
  <c r="E739" i="33"/>
  <c r="F739" i="33"/>
  <c r="H739" i="33"/>
  <c r="E740" i="33"/>
  <c r="F740" i="33"/>
  <c r="H740" i="33"/>
  <c r="E741" i="33"/>
  <c r="F741" i="33"/>
  <c r="H741" i="33"/>
  <c r="E742" i="33"/>
  <c r="F742" i="33"/>
  <c r="H742" i="33"/>
  <c r="E743" i="33"/>
  <c r="F743" i="33"/>
  <c r="H743" i="33"/>
  <c r="E744" i="33"/>
  <c r="F744" i="33"/>
  <c r="H744" i="33"/>
  <c r="E745" i="33"/>
  <c r="F745" i="33"/>
  <c r="H745" i="33"/>
  <c r="E746" i="33"/>
  <c r="F746" i="33"/>
  <c r="H746" i="33"/>
  <c r="E747" i="33"/>
  <c r="F747" i="33"/>
  <c r="H747" i="33"/>
  <c r="E748" i="33"/>
  <c r="F748" i="33"/>
  <c r="H748" i="33"/>
  <c r="E749" i="33"/>
  <c r="F749" i="33"/>
  <c r="H749" i="33"/>
  <c r="E750" i="33"/>
  <c r="F750" i="33"/>
  <c r="H750" i="33"/>
  <c r="E751" i="33"/>
  <c r="F751" i="33"/>
  <c r="H751" i="33"/>
  <c r="E752" i="33"/>
  <c r="F752" i="33"/>
  <c r="H752" i="33"/>
  <c r="E753" i="33"/>
  <c r="F753" i="33"/>
  <c r="H753" i="33"/>
  <c r="E754" i="33"/>
  <c r="F754" i="33"/>
  <c r="H754" i="33"/>
  <c r="E755" i="33"/>
  <c r="F755" i="33"/>
  <c r="H755" i="33"/>
  <c r="E756" i="33"/>
  <c r="F756" i="33"/>
  <c r="H756" i="33"/>
  <c r="E757" i="33"/>
  <c r="F757" i="33"/>
  <c r="H757" i="33"/>
  <c r="E758" i="33"/>
  <c r="F758" i="33"/>
  <c r="H758" i="33"/>
  <c r="E759" i="33"/>
  <c r="F759" i="33"/>
  <c r="H759" i="33"/>
  <c r="E760" i="33"/>
  <c r="F760" i="33"/>
  <c r="H760" i="33"/>
  <c r="E761" i="33"/>
  <c r="F761" i="33"/>
  <c r="H761" i="33"/>
  <c r="E762" i="33"/>
  <c r="F762" i="33"/>
  <c r="H762" i="33"/>
  <c r="E763" i="33"/>
  <c r="F763" i="33"/>
  <c r="H763" i="33"/>
  <c r="E764" i="33"/>
  <c r="F764" i="33"/>
  <c r="H764" i="33"/>
  <c r="E765" i="33"/>
  <c r="F765" i="33"/>
  <c r="H765" i="33"/>
  <c r="E766" i="33"/>
  <c r="F766" i="33"/>
  <c r="H766" i="33"/>
  <c r="E767" i="33"/>
  <c r="F767" i="33"/>
  <c r="H767" i="33"/>
  <c r="E768" i="33"/>
  <c r="F768" i="33"/>
  <c r="H768" i="33"/>
  <c r="E769" i="33"/>
  <c r="F769" i="33"/>
  <c r="H769" i="33"/>
  <c r="E770" i="33"/>
  <c r="F770" i="33"/>
  <c r="H770" i="33"/>
  <c r="E771" i="33"/>
  <c r="F771" i="33"/>
  <c r="H771" i="33"/>
  <c r="E772" i="33"/>
  <c r="F772" i="33"/>
  <c r="H772" i="33"/>
  <c r="E773" i="33"/>
  <c r="F773" i="33"/>
  <c r="H773" i="33"/>
  <c r="E774" i="33"/>
  <c r="F774" i="33"/>
  <c r="H774" i="33"/>
  <c r="E775" i="33"/>
  <c r="F775" i="33"/>
  <c r="H775" i="33"/>
  <c r="E776" i="33"/>
  <c r="F776" i="33"/>
  <c r="H776" i="33"/>
  <c r="E777" i="33"/>
  <c r="F777" i="33"/>
  <c r="H777" i="33"/>
  <c r="E778" i="33"/>
  <c r="F778" i="33"/>
  <c r="H778" i="33"/>
  <c r="E779" i="33"/>
  <c r="F779" i="33"/>
  <c r="H779" i="33"/>
  <c r="E780" i="33"/>
  <c r="F780" i="33"/>
  <c r="H780" i="33"/>
  <c r="E781" i="33"/>
  <c r="F781" i="33"/>
  <c r="H781" i="33"/>
  <c r="E782" i="33"/>
  <c r="F782" i="33"/>
  <c r="H782" i="33"/>
  <c r="E783" i="33"/>
  <c r="F783" i="33"/>
  <c r="H783" i="33"/>
  <c r="E784" i="33"/>
  <c r="F784" i="33"/>
  <c r="H784" i="33"/>
  <c r="E785" i="33"/>
  <c r="F785" i="33"/>
  <c r="H785" i="33"/>
  <c r="E786" i="33"/>
  <c r="F786" i="33"/>
  <c r="H786" i="33"/>
  <c r="E787" i="33"/>
  <c r="F787" i="33"/>
  <c r="H787" i="33"/>
  <c r="E788" i="33"/>
  <c r="F788" i="33"/>
  <c r="H788" i="33"/>
  <c r="E789" i="33"/>
  <c r="F789" i="33"/>
  <c r="H789" i="33"/>
  <c r="E790" i="33"/>
  <c r="F790" i="33"/>
  <c r="H790" i="33"/>
  <c r="E791" i="33"/>
  <c r="F791" i="33"/>
  <c r="H791" i="33"/>
  <c r="E792" i="33"/>
  <c r="F792" i="33"/>
  <c r="H792" i="33"/>
  <c r="E793" i="33"/>
  <c r="F793" i="33"/>
  <c r="H793" i="33"/>
  <c r="E794" i="33"/>
  <c r="F794" i="33"/>
  <c r="H794" i="33"/>
  <c r="E795" i="33"/>
  <c r="F795" i="33"/>
  <c r="H795" i="33"/>
  <c r="E796" i="33"/>
  <c r="F796" i="33"/>
  <c r="H796" i="33"/>
  <c r="E797" i="33"/>
  <c r="F797" i="33"/>
  <c r="H797" i="33"/>
  <c r="E798" i="33"/>
  <c r="F798" i="33"/>
  <c r="H798" i="33"/>
  <c r="E799" i="33"/>
  <c r="F799" i="33"/>
  <c r="H799" i="33"/>
  <c r="E800" i="33"/>
  <c r="F800" i="33"/>
  <c r="H800" i="33"/>
  <c r="E801" i="33"/>
  <c r="F801" i="33"/>
  <c r="H801" i="33"/>
  <c r="E802" i="33"/>
  <c r="F802" i="33"/>
  <c r="H802" i="33"/>
  <c r="E803" i="33"/>
  <c r="F803" i="33"/>
  <c r="H803" i="33"/>
  <c r="E804" i="33"/>
  <c r="F804" i="33"/>
  <c r="H804" i="33"/>
  <c r="E805" i="33"/>
  <c r="F805" i="33"/>
  <c r="H805" i="33"/>
  <c r="E806" i="33"/>
  <c r="F806" i="33"/>
  <c r="H806" i="33"/>
  <c r="E807" i="33"/>
  <c r="F807" i="33"/>
  <c r="H807" i="33"/>
  <c r="E808" i="33"/>
  <c r="F808" i="33"/>
  <c r="H808" i="33"/>
  <c r="E809" i="33"/>
  <c r="F809" i="33"/>
  <c r="H809" i="33"/>
  <c r="E810" i="33"/>
  <c r="F810" i="33"/>
  <c r="H810" i="33"/>
  <c r="E811" i="33"/>
  <c r="F811" i="33"/>
  <c r="H811" i="33"/>
  <c r="E812" i="33"/>
  <c r="F812" i="33"/>
  <c r="H812" i="33"/>
  <c r="E813" i="33"/>
  <c r="F813" i="33"/>
  <c r="H813" i="33"/>
  <c r="E814" i="33"/>
  <c r="F814" i="33"/>
  <c r="H814" i="33"/>
  <c r="E815" i="33"/>
  <c r="F815" i="33"/>
  <c r="H815" i="33"/>
  <c r="E816" i="33"/>
  <c r="F816" i="33"/>
  <c r="H816" i="33"/>
  <c r="E817" i="33"/>
  <c r="F817" i="33"/>
  <c r="H817" i="33"/>
  <c r="E818" i="33"/>
  <c r="F818" i="33"/>
  <c r="H818" i="33"/>
  <c r="E819" i="33"/>
  <c r="F819" i="33"/>
  <c r="H819" i="33"/>
  <c r="E820" i="33"/>
  <c r="F820" i="33"/>
  <c r="H820" i="33"/>
  <c r="E821" i="33"/>
  <c r="F821" i="33"/>
  <c r="H821" i="33"/>
  <c r="E822" i="33"/>
  <c r="F822" i="33"/>
  <c r="H822" i="33"/>
  <c r="E823" i="33"/>
  <c r="F823" i="33"/>
  <c r="H823" i="33"/>
  <c r="E824" i="33"/>
  <c r="F824" i="33"/>
  <c r="H824" i="33"/>
  <c r="E825" i="33"/>
  <c r="F825" i="33"/>
  <c r="H825" i="33"/>
  <c r="E826" i="33"/>
  <c r="F826" i="33"/>
  <c r="H826" i="33"/>
  <c r="E827" i="33"/>
  <c r="F827" i="33"/>
  <c r="H827" i="33"/>
  <c r="E828" i="33"/>
  <c r="F828" i="33"/>
  <c r="H828" i="33"/>
  <c r="E829" i="33"/>
  <c r="F829" i="33"/>
  <c r="H829" i="33"/>
  <c r="E830" i="33"/>
  <c r="F830" i="33"/>
  <c r="H830" i="33"/>
  <c r="E831" i="33"/>
  <c r="F831" i="33"/>
  <c r="H831" i="33"/>
  <c r="E832" i="33"/>
  <c r="F832" i="33"/>
  <c r="H832" i="33"/>
  <c r="E833" i="33"/>
  <c r="F833" i="33"/>
  <c r="H833" i="33"/>
  <c r="E834" i="33"/>
  <c r="F834" i="33"/>
  <c r="H834" i="33"/>
  <c r="E835" i="33"/>
  <c r="F835" i="33"/>
  <c r="H835" i="33"/>
  <c r="E836" i="33"/>
  <c r="F836" i="33"/>
  <c r="H836" i="33"/>
  <c r="E837" i="33"/>
  <c r="F837" i="33"/>
  <c r="H837" i="33"/>
  <c r="E838" i="33"/>
  <c r="F838" i="33"/>
  <c r="H838" i="33"/>
  <c r="E839" i="33"/>
  <c r="F839" i="33"/>
  <c r="H839" i="33"/>
  <c r="E840" i="33"/>
  <c r="F840" i="33"/>
  <c r="H840" i="33"/>
  <c r="E841" i="33"/>
  <c r="F841" i="33"/>
  <c r="H841" i="33"/>
  <c r="E842" i="33"/>
  <c r="F842" i="33"/>
  <c r="H842" i="33"/>
  <c r="E843" i="33"/>
  <c r="F843" i="33"/>
  <c r="H843" i="33"/>
  <c r="E844" i="33"/>
  <c r="F844" i="33"/>
  <c r="H844" i="33"/>
  <c r="E845" i="33"/>
  <c r="F845" i="33"/>
  <c r="H845" i="33"/>
  <c r="E846" i="33"/>
  <c r="F846" i="33"/>
  <c r="H846" i="33"/>
  <c r="E847" i="33"/>
  <c r="F847" i="33"/>
  <c r="H847" i="33"/>
  <c r="E848" i="33"/>
  <c r="F848" i="33"/>
  <c r="H848" i="33"/>
  <c r="E849" i="33"/>
  <c r="F849" i="33"/>
  <c r="H849" i="33"/>
  <c r="E850" i="33"/>
  <c r="F850" i="33"/>
  <c r="H850" i="33"/>
  <c r="E851" i="33"/>
  <c r="F851" i="33"/>
  <c r="H851" i="33"/>
  <c r="E852" i="33"/>
  <c r="F852" i="33"/>
  <c r="H852" i="33"/>
  <c r="E853" i="33"/>
  <c r="F853" i="33"/>
  <c r="H853" i="33"/>
  <c r="E854" i="33"/>
  <c r="F854" i="33"/>
  <c r="H854" i="33"/>
  <c r="E855" i="33"/>
  <c r="F855" i="33"/>
  <c r="H855" i="33"/>
  <c r="E856" i="33"/>
  <c r="F856" i="33"/>
  <c r="H856" i="33"/>
  <c r="E857" i="33"/>
  <c r="F857" i="33"/>
  <c r="H857" i="33"/>
  <c r="E858" i="33"/>
  <c r="F858" i="33"/>
  <c r="H858" i="33"/>
  <c r="E859" i="33"/>
  <c r="F859" i="33"/>
  <c r="H859" i="33"/>
  <c r="E860" i="33"/>
  <c r="F860" i="33"/>
  <c r="H860" i="33"/>
  <c r="E861" i="33"/>
  <c r="F861" i="33"/>
  <c r="H861" i="33"/>
  <c r="E862" i="33"/>
  <c r="F862" i="33"/>
  <c r="H862" i="33"/>
  <c r="E863" i="33"/>
  <c r="F863" i="33"/>
  <c r="H863" i="33"/>
  <c r="E864" i="33"/>
  <c r="F864" i="33"/>
  <c r="H864" i="33"/>
  <c r="E865" i="33"/>
  <c r="F865" i="33"/>
  <c r="H865" i="33"/>
  <c r="E866" i="33"/>
  <c r="F866" i="33"/>
  <c r="H866" i="33"/>
  <c r="E867" i="33"/>
  <c r="F867" i="33"/>
  <c r="H867" i="33"/>
  <c r="E868" i="33"/>
  <c r="F868" i="33"/>
  <c r="H868" i="33"/>
  <c r="E869" i="33"/>
  <c r="F869" i="33"/>
  <c r="H869" i="33"/>
  <c r="E870" i="33"/>
  <c r="F870" i="33"/>
  <c r="H870" i="33"/>
  <c r="E871" i="33"/>
  <c r="F871" i="33"/>
  <c r="H871" i="33"/>
  <c r="E872" i="33"/>
  <c r="F872" i="33"/>
  <c r="H872" i="33"/>
  <c r="E873" i="33"/>
  <c r="F873" i="33"/>
  <c r="H873" i="33"/>
  <c r="E874" i="33"/>
  <c r="F874" i="33"/>
  <c r="H874" i="33"/>
  <c r="E875" i="33"/>
  <c r="F875" i="33"/>
  <c r="H875" i="33"/>
  <c r="E876" i="33"/>
  <c r="F876" i="33"/>
  <c r="H876" i="33"/>
  <c r="E877" i="33"/>
  <c r="F877" i="33"/>
  <c r="H877" i="33"/>
  <c r="E878" i="33"/>
  <c r="F878" i="33"/>
  <c r="H878" i="33"/>
  <c r="E879" i="33"/>
  <c r="F879" i="33"/>
  <c r="H879" i="33"/>
  <c r="E880" i="33"/>
  <c r="F880" i="33"/>
  <c r="H880" i="33"/>
  <c r="E881" i="33"/>
  <c r="F881" i="33"/>
  <c r="H881" i="33"/>
  <c r="E882" i="33"/>
  <c r="F882" i="33"/>
  <c r="H882" i="33"/>
  <c r="E883" i="33"/>
  <c r="F883" i="33"/>
  <c r="H883" i="33"/>
  <c r="E884" i="33"/>
  <c r="F884" i="33"/>
  <c r="H884" i="33"/>
  <c r="E885" i="33"/>
  <c r="F885" i="33"/>
  <c r="H885" i="33"/>
  <c r="E886" i="33"/>
  <c r="F886" i="33"/>
  <c r="H886" i="33"/>
  <c r="E887" i="33"/>
  <c r="F887" i="33"/>
  <c r="H887" i="33"/>
  <c r="E888" i="33"/>
  <c r="F888" i="33"/>
  <c r="H888" i="33"/>
  <c r="E889" i="33"/>
  <c r="F889" i="33"/>
  <c r="H889" i="33"/>
  <c r="E890" i="33"/>
  <c r="F890" i="33"/>
  <c r="H890" i="33"/>
  <c r="E891" i="33"/>
  <c r="F891" i="33"/>
  <c r="H891" i="33"/>
  <c r="E892" i="33"/>
  <c r="F892" i="33"/>
  <c r="H892" i="33"/>
  <c r="E893" i="33"/>
  <c r="F893" i="33"/>
  <c r="H893" i="33"/>
  <c r="E894" i="33"/>
  <c r="F894" i="33"/>
  <c r="H894" i="33"/>
  <c r="E895" i="33"/>
  <c r="F895" i="33"/>
  <c r="H895" i="33"/>
  <c r="E896" i="33"/>
  <c r="F896" i="33"/>
  <c r="H896" i="33"/>
  <c r="E897" i="33"/>
  <c r="F897" i="33"/>
  <c r="H897" i="33"/>
  <c r="E898" i="33"/>
  <c r="F898" i="33"/>
  <c r="H898" i="33"/>
  <c r="E899" i="33"/>
  <c r="F899" i="33"/>
  <c r="H899" i="33"/>
  <c r="E900" i="33"/>
  <c r="F900" i="33"/>
  <c r="H900" i="33"/>
  <c r="E901" i="33"/>
  <c r="F901" i="33"/>
  <c r="H901" i="33"/>
  <c r="E902" i="33"/>
  <c r="F902" i="33"/>
  <c r="H902" i="33"/>
  <c r="E903" i="33"/>
  <c r="F903" i="33"/>
  <c r="H903" i="33"/>
  <c r="E904" i="33"/>
  <c r="F904" i="33"/>
  <c r="H904" i="33"/>
  <c r="E905" i="33"/>
  <c r="F905" i="33"/>
  <c r="H905" i="33"/>
  <c r="E906" i="33"/>
  <c r="F906" i="33"/>
  <c r="H906" i="33"/>
  <c r="E907" i="33"/>
  <c r="F907" i="33"/>
  <c r="H907" i="33"/>
  <c r="E908" i="33"/>
  <c r="F908" i="33"/>
  <c r="H908" i="33"/>
  <c r="E909" i="33"/>
  <c r="F909" i="33"/>
  <c r="H909" i="33"/>
  <c r="E910" i="33"/>
  <c r="F910" i="33"/>
  <c r="H910" i="33"/>
  <c r="E911" i="33"/>
  <c r="F911" i="33"/>
  <c r="H911" i="33"/>
  <c r="E912" i="33"/>
  <c r="F912" i="33"/>
  <c r="H912" i="33"/>
  <c r="E913" i="33"/>
  <c r="F913" i="33"/>
  <c r="H913" i="33"/>
  <c r="E914" i="33"/>
  <c r="F914" i="33"/>
  <c r="H914" i="33"/>
  <c r="E915" i="33"/>
  <c r="F915" i="33"/>
  <c r="H915" i="33"/>
  <c r="E916" i="33"/>
  <c r="F916" i="33"/>
  <c r="H916" i="33"/>
  <c r="E917" i="33"/>
  <c r="F917" i="33"/>
  <c r="H917" i="33"/>
  <c r="E918" i="33"/>
  <c r="F918" i="33"/>
  <c r="H918" i="33"/>
  <c r="E919" i="33"/>
  <c r="F919" i="33"/>
  <c r="H919" i="33"/>
  <c r="E920" i="33"/>
  <c r="F920" i="33"/>
  <c r="H920" i="33"/>
  <c r="E921" i="33"/>
  <c r="F921" i="33"/>
  <c r="H921" i="33"/>
  <c r="E922" i="33"/>
  <c r="F922" i="33"/>
  <c r="H922" i="33"/>
  <c r="E923" i="33"/>
  <c r="F923" i="33"/>
  <c r="H923" i="33"/>
  <c r="E924" i="33"/>
  <c r="F924" i="33"/>
  <c r="H924" i="33"/>
  <c r="E925" i="33"/>
  <c r="F925" i="33"/>
  <c r="H925" i="33"/>
  <c r="E926" i="33"/>
  <c r="F926" i="33"/>
  <c r="H926" i="33"/>
  <c r="E927" i="33"/>
  <c r="F927" i="33"/>
  <c r="H927" i="33"/>
  <c r="E928" i="33"/>
  <c r="F928" i="33"/>
  <c r="H928" i="33"/>
  <c r="E929" i="33"/>
  <c r="F929" i="33"/>
  <c r="H929" i="33"/>
  <c r="E930" i="33"/>
  <c r="F930" i="33"/>
  <c r="H930" i="33"/>
  <c r="E931" i="33"/>
  <c r="F931" i="33"/>
  <c r="H931" i="33"/>
  <c r="E932" i="33"/>
  <c r="F932" i="33"/>
  <c r="H932" i="33"/>
  <c r="E933" i="33"/>
  <c r="F933" i="33"/>
  <c r="H933" i="33"/>
  <c r="E934" i="33"/>
  <c r="F934" i="33"/>
  <c r="H934" i="33"/>
  <c r="E935" i="33"/>
  <c r="F935" i="33"/>
  <c r="H935" i="33"/>
  <c r="E936" i="33"/>
  <c r="F936" i="33"/>
  <c r="H936" i="33"/>
  <c r="E937" i="33"/>
  <c r="F937" i="33"/>
  <c r="H937" i="33"/>
  <c r="E938" i="33"/>
  <c r="F938" i="33"/>
  <c r="H938" i="33"/>
  <c r="E939" i="33"/>
  <c r="F939" i="33"/>
  <c r="H939" i="33"/>
  <c r="E940" i="33"/>
  <c r="F940" i="33"/>
  <c r="H940" i="33"/>
  <c r="E941" i="33"/>
  <c r="F941" i="33"/>
  <c r="H941" i="33"/>
  <c r="E942" i="33"/>
  <c r="F942" i="33"/>
  <c r="H942" i="33"/>
  <c r="E943" i="33"/>
  <c r="F943" i="33"/>
  <c r="H943" i="33"/>
  <c r="E944" i="33"/>
  <c r="F944" i="33"/>
  <c r="H944" i="33"/>
  <c r="E945" i="33"/>
  <c r="F945" i="33"/>
  <c r="H945" i="33"/>
  <c r="E946" i="33"/>
  <c r="F946" i="33"/>
  <c r="H946" i="33"/>
  <c r="E947" i="33"/>
  <c r="F947" i="33"/>
  <c r="H947" i="33"/>
  <c r="E948" i="33"/>
  <c r="F948" i="33"/>
  <c r="H948" i="33"/>
  <c r="E949" i="33"/>
  <c r="F949" i="33"/>
  <c r="H949" i="33"/>
  <c r="E950" i="33"/>
  <c r="F950" i="33"/>
  <c r="H950" i="33"/>
  <c r="E951" i="33"/>
  <c r="F951" i="33"/>
  <c r="H951" i="33"/>
  <c r="E952" i="33"/>
  <c r="F952" i="33"/>
  <c r="H952" i="33"/>
  <c r="E953" i="33"/>
  <c r="F953" i="33"/>
  <c r="H953" i="33"/>
  <c r="E954" i="33"/>
  <c r="F954" i="33"/>
  <c r="H954" i="33"/>
  <c r="E955" i="33"/>
  <c r="F955" i="33"/>
  <c r="H955" i="33"/>
  <c r="E956" i="33"/>
  <c r="F956" i="33"/>
  <c r="H956" i="33"/>
  <c r="E957" i="33"/>
  <c r="F957" i="33"/>
  <c r="H957" i="33"/>
  <c r="E958" i="33"/>
  <c r="F958" i="33"/>
  <c r="H958" i="33"/>
  <c r="E959" i="33"/>
  <c r="F959" i="33"/>
  <c r="H959" i="33"/>
  <c r="E960" i="33"/>
  <c r="F960" i="33"/>
  <c r="H960" i="33"/>
  <c r="E961" i="33"/>
  <c r="F961" i="33"/>
  <c r="H961" i="33"/>
  <c r="E962" i="33"/>
  <c r="F962" i="33"/>
  <c r="H962" i="33"/>
  <c r="E963" i="33"/>
  <c r="F963" i="33"/>
  <c r="H963" i="33"/>
  <c r="E964" i="33"/>
  <c r="F964" i="33"/>
  <c r="H964" i="33"/>
  <c r="E965" i="33"/>
  <c r="F965" i="33"/>
  <c r="H965" i="33"/>
  <c r="E966" i="33"/>
  <c r="F966" i="33"/>
  <c r="H966" i="33"/>
  <c r="E967" i="33"/>
  <c r="F967" i="33"/>
  <c r="H967" i="33"/>
  <c r="E968" i="33"/>
  <c r="F968" i="33"/>
  <c r="H968" i="33"/>
  <c r="E969" i="33"/>
  <c r="F969" i="33"/>
  <c r="H969" i="33"/>
  <c r="E970" i="33"/>
  <c r="F970" i="33"/>
  <c r="H970" i="33"/>
  <c r="E971" i="33"/>
  <c r="F971" i="33"/>
  <c r="H971" i="33"/>
  <c r="E972" i="33"/>
  <c r="F972" i="33"/>
  <c r="H972" i="33"/>
  <c r="E973" i="33"/>
  <c r="F973" i="33"/>
  <c r="H973" i="33"/>
  <c r="E974" i="33"/>
  <c r="F974" i="33"/>
  <c r="H974" i="33"/>
  <c r="E975" i="33"/>
  <c r="F975" i="33"/>
  <c r="H975" i="33"/>
  <c r="E976" i="33"/>
  <c r="F976" i="33"/>
  <c r="H976" i="33"/>
  <c r="E977" i="33"/>
  <c r="F977" i="33"/>
  <c r="H977" i="33"/>
  <c r="E978" i="33"/>
  <c r="F978" i="33"/>
  <c r="H978" i="33"/>
  <c r="E979" i="33"/>
  <c r="F979" i="33"/>
  <c r="H979" i="33"/>
  <c r="E980" i="33"/>
  <c r="F980" i="33"/>
  <c r="H980" i="33"/>
  <c r="E981" i="33"/>
  <c r="F981" i="33"/>
  <c r="H981" i="33"/>
  <c r="E982" i="33"/>
  <c r="F982" i="33"/>
  <c r="H982" i="33"/>
  <c r="E983" i="33"/>
  <c r="F983" i="33"/>
  <c r="H983" i="33"/>
  <c r="E984" i="33"/>
  <c r="F984" i="33"/>
  <c r="H984" i="33"/>
  <c r="E985" i="33"/>
  <c r="F985" i="33"/>
  <c r="H985" i="33"/>
  <c r="E986" i="33"/>
  <c r="F986" i="33"/>
  <c r="H986" i="33"/>
  <c r="E987" i="33"/>
  <c r="F987" i="33"/>
  <c r="H987" i="33"/>
  <c r="E988" i="33"/>
  <c r="F988" i="33"/>
  <c r="H988" i="33"/>
  <c r="E989" i="33"/>
  <c r="F989" i="33"/>
  <c r="H989" i="33"/>
  <c r="E990" i="33"/>
  <c r="F990" i="33"/>
  <c r="H990" i="33"/>
  <c r="E991" i="33"/>
  <c r="F991" i="33"/>
  <c r="H991" i="33"/>
  <c r="E992" i="33"/>
  <c r="F992" i="33"/>
  <c r="H992" i="33"/>
  <c r="E993" i="33"/>
  <c r="F993" i="33"/>
  <c r="H993" i="33"/>
  <c r="E994" i="33"/>
  <c r="F994" i="33"/>
  <c r="H994" i="33"/>
  <c r="E995" i="33"/>
  <c r="F995" i="33"/>
  <c r="H995" i="33"/>
  <c r="E996" i="33"/>
  <c r="F996" i="33"/>
  <c r="H996" i="33"/>
  <c r="E997" i="33"/>
  <c r="F997" i="33"/>
  <c r="H997" i="33"/>
  <c r="E998" i="33"/>
  <c r="F998" i="33"/>
  <c r="H998" i="33"/>
  <c r="E999" i="33"/>
  <c r="F999" i="33"/>
  <c r="H999" i="33"/>
  <c r="E1000" i="33"/>
  <c r="F1000" i="33"/>
  <c r="H1000" i="33"/>
  <c r="E1001" i="33"/>
  <c r="F1001" i="33"/>
  <c r="H1001" i="33"/>
  <c r="E1002" i="33"/>
  <c r="F1002" i="33"/>
  <c r="H1002" i="33"/>
  <c r="E1003" i="33"/>
  <c r="F1003" i="33"/>
  <c r="H1003" i="33"/>
  <c r="E1004" i="33"/>
  <c r="F1004" i="33"/>
  <c r="H1004" i="33"/>
  <c r="E1005" i="33"/>
  <c r="F1005" i="33"/>
  <c r="H1005" i="33"/>
  <c r="E1006" i="33"/>
  <c r="F1006" i="33"/>
  <c r="H1006" i="33"/>
  <c r="E1007" i="33"/>
  <c r="F1007" i="33"/>
  <c r="H1007" i="33"/>
  <c r="E1008" i="33"/>
  <c r="F1008" i="33"/>
  <c r="H1008" i="33"/>
  <c r="E1009" i="33"/>
  <c r="F1009" i="33"/>
  <c r="H1009" i="33"/>
  <c r="E1010" i="33"/>
  <c r="F1010" i="33"/>
  <c r="H1010" i="33"/>
  <c r="E1011" i="33"/>
  <c r="F1011" i="33"/>
  <c r="H1011" i="33"/>
  <c r="E1012" i="33"/>
  <c r="F1012" i="33"/>
  <c r="H1012" i="33"/>
  <c r="E1013" i="33"/>
  <c r="F1013" i="33"/>
  <c r="H1013" i="33"/>
  <c r="E1014" i="33"/>
  <c r="F1014" i="33"/>
  <c r="H1014" i="33"/>
  <c r="E1015" i="33"/>
  <c r="F1015" i="33"/>
  <c r="H1015" i="33"/>
  <c r="E1016" i="33"/>
  <c r="F1016" i="33"/>
  <c r="H1016" i="33"/>
  <c r="E1017" i="33"/>
  <c r="F1017" i="33"/>
  <c r="H1017" i="33"/>
  <c r="E1018" i="33"/>
  <c r="F1018" i="33"/>
  <c r="H1018" i="33"/>
  <c r="E1019" i="33"/>
  <c r="F1019" i="33"/>
  <c r="H1019" i="33"/>
  <c r="E1020" i="33"/>
  <c r="F1020" i="33"/>
  <c r="H1020" i="33"/>
  <c r="E1021" i="33"/>
  <c r="F1021" i="33"/>
  <c r="H1021" i="33"/>
  <c r="E1022" i="33"/>
  <c r="F1022" i="33"/>
  <c r="H1022" i="33"/>
  <c r="E1023" i="33"/>
  <c r="F1023" i="33"/>
  <c r="H1023" i="33"/>
  <c r="E1024" i="33"/>
  <c r="F1024" i="33"/>
  <c r="H1024" i="33"/>
  <c r="E1025" i="33"/>
  <c r="F1025" i="33"/>
  <c r="H1025" i="33"/>
  <c r="E1026" i="33"/>
  <c r="F1026" i="33"/>
  <c r="H1026" i="33"/>
  <c r="E1027" i="33"/>
  <c r="F1027" i="33"/>
  <c r="H1027" i="33"/>
  <c r="E1028" i="33"/>
  <c r="F1028" i="33"/>
  <c r="H1028" i="33"/>
  <c r="E1029" i="33"/>
  <c r="F1029" i="33"/>
  <c r="H1029" i="33"/>
  <c r="E1030" i="33"/>
  <c r="F1030" i="33"/>
  <c r="H1030" i="33"/>
  <c r="E1031" i="33"/>
  <c r="F1031" i="33"/>
  <c r="H1031" i="33"/>
  <c r="E1032" i="33"/>
  <c r="F1032" i="33"/>
  <c r="H1032" i="33"/>
  <c r="E1033" i="33"/>
  <c r="F1033" i="33"/>
  <c r="H1033" i="33"/>
  <c r="E1034" i="33"/>
  <c r="F1034" i="33"/>
  <c r="H1034" i="33"/>
  <c r="E1035" i="33"/>
  <c r="F1035" i="33"/>
  <c r="H1035" i="33"/>
  <c r="E1036" i="33"/>
  <c r="F1036" i="33"/>
  <c r="H1036" i="33"/>
  <c r="E1037" i="33"/>
  <c r="F1037" i="33"/>
  <c r="H1037" i="33"/>
  <c r="E1038" i="33"/>
  <c r="F1038" i="33"/>
  <c r="H1038" i="33"/>
  <c r="E1039" i="33"/>
  <c r="F1039" i="33"/>
  <c r="H1039" i="33"/>
  <c r="E1040" i="33"/>
  <c r="F1040" i="33"/>
  <c r="H1040" i="33"/>
  <c r="E1041" i="33"/>
  <c r="F1041" i="33"/>
  <c r="H1041" i="33"/>
  <c r="E1042" i="33"/>
  <c r="F1042" i="33"/>
  <c r="H1042" i="33"/>
  <c r="E1043" i="33"/>
  <c r="F1043" i="33"/>
  <c r="H1043" i="33"/>
  <c r="E1044" i="33"/>
  <c r="F1044" i="33"/>
  <c r="H1044" i="33"/>
  <c r="E1045" i="33"/>
  <c r="F1045" i="33"/>
  <c r="H1045" i="33"/>
  <c r="E1046" i="33"/>
  <c r="F1046" i="33"/>
  <c r="H1046" i="33"/>
  <c r="E1047" i="33"/>
  <c r="F1047" i="33"/>
  <c r="H1047" i="33"/>
  <c r="E1048" i="33"/>
  <c r="F1048" i="33"/>
  <c r="H1048" i="33"/>
  <c r="E1049" i="33"/>
  <c r="F1049" i="33"/>
  <c r="H1049" i="33"/>
  <c r="E1050" i="33"/>
  <c r="F1050" i="33"/>
  <c r="H1050" i="33"/>
  <c r="E1051" i="33"/>
  <c r="F1051" i="33"/>
  <c r="H1051" i="33"/>
  <c r="E1052" i="33"/>
  <c r="F1052" i="33"/>
  <c r="H1052" i="33"/>
  <c r="E1053" i="33"/>
  <c r="F1053" i="33"/>
  <c r="H1053" i="33"/>
  <c r="E1054" i="33"/>
  <c r="F1054" i="33"/>
  <c r="H1054" i="33"/>
  <c r="E1055" i="33"/>
  <c r="F1055" i="33"/>
  <c r="H1055" i="33"/>
  <c r="E1056" i="33"/>
  <c r="F1056" i="33"/>
  <c r="H1056" i="33"/>
  <c r="E1057" i="33"/>
  <c r="F1057" i="33"/>
  <c r="H1057" i="33"/>
  <c r="E1058" i="33"/>
  <c r="F1058" i="33"/>
  <c r="H1058" i="33"/>
  <c r="E1059" i="33"/>
  <c r="F1059" i="33"/>
  <c r="H1059" i="33"/>
  <c r="E1060" i="33"/>
  <c r="F1060" i="33"/>
  <c r="H1060" i="33"/>
  <c r="E1061" i="33"/>
  <c r="F1061" i="33"/>
  <c r="H1061" i="33"/>
  <c r="E1062" i="33"/>
  <c r="F1062" i="33"/>
  <c r="H1062" i="33"/>
  <c r="E1063" i="33"/>
  <c r="F1063" i="33"/>
  <c r="H1063" i="33"/>
  <c r="E1064" i="33"/>
  <c r="F1064" i="33"/>
  <c r="H1064" i="33"/>
  <c r="E1065" i="33"/>
  <c r="F1065" i="33"/>
  <c r="H1065" i="33"/>
  <c r="E1066" i="33"/>
  <c r="F1066" i="33"/>
  <c r="H1066" i="33"/>
  <c r="E1067" i="33"/>
  <c r="F1067" i="33"/>
  <c r="H1067" i="33"/>
  <c r="E1068" i="33"/>
  <c r="F1068" i="33"/>
  <c r="H1068" i="33"/>
  <c r="E1069" i="33"/>
  <c r="F1069" i="33"/>
  <c r="H1069" i="33"/>
  <c r="E1070" i="33"/>
  <c r="F1070" i="33"/>
  <c r="H1070" i="33"/>
  <c r="E1071" i="33"/>
  <c r="F1071" i="33"/>
  <c r="H1071" i="33"/>
  <c r="E1072" i="33"/>
  <c r="F1072" i="33"/>
  <c r="H1072" i="33"/>
  <c r="E1073" i="33"/>
  <c r="F1073" i="33"/>
  <c r="H1073" i="33"/>
  <c r="E1074" i="33"/>
  <c r="F1074" i="33"/>
  <c r="H1074" i="33"/>
  <c r="E1075" i="33"/>
  <c r="F1075" i="33"/>
  <c r="H1075" i="33"/>
  <c r="E1076" i="33"/>
  <c r="F1076" i="33"/>
  <c r="H1076" i="33"/>
  <c r="E1077" i="33"/>
  <c r="F1077" i="33"/>
  <c r="H1077" i="33"/>
  <c r="E1078" i="33"/>
  <c r="F1078" i="33"/>
  <c r="H1078" i="33"/>
  <c r="E1079" i="33"/>
  <c r="F1079" i="33"/>
  <c r="H1079" i="33"/>
  <c r="E1080" i="33"/>
  <c r="F1080" i="33"/>
  <c r="H1080" i="33"/>
  <c r="E1081" i="33"/>
  <c r="F1081" i="33"/>
  <c r="H1081" i="33"/>
  <c r="E1082" i="33"/>
  <c r="F1082" i="33"/>
  <c r="H1082" i="33"/>
  <c r="E1083" i="33"/>
  <c r="F1083" i="33"/>
  <c r="H1083" i="33"/>
  <c r="E1084" i="33"/>
  <c r="F1084" i="33"/>
  <c r="H1084" i="33"/>
  <c r="E1085" i="33"/>
  <c r="F1085" i="33"/>
  <c r="H1085" i="33"/>
  <c r="E1086" i="33"/>
  <c r="F1086" i="33"/>
  <c r="H1086" i="33"/>
  <c r="E1087" i="33"/>
  <c r="F1087" i="33"/>
  <c r="H1087" i="33"/>
  <c r="E1088" i="33"/>
  <c r="F1088" i="33"/>
  <c r="H1088" i="33"/>
  <c r="E1089" i="33"/>
  <c r="F1089" i="33"/>
  <c r="H1089" i="33"/>
  <c r="E1090" i="33"/>
  <c r="F1090" i="33"/>
  <c r="H1090" i="33"/>
  <c r="E1091" i="33"/>
  <c r="F1091" i="33"/>
  <c r="H1091" i="33"/>
  <c r="E1092" i="33"/>
  <c r="F1092" i="33"/>
  <c r="H1092" i="33"/>
  <c r="E1093" i="33"/>
  <c r="F1093" i="33"/>
  <c r="H1093" i="33"/>
  <c r="E1094" i="33"/>
  <c r="F1094" i="33"/>
  <c r="H1094" i="33"/>
  <c r="E1095" i="33"/>
  <c r="F1095" i="33"/>
  <c r="H1095" i="33"/>
  <c r="E1096" i="33"/>
  <c r="F1096" i="33"/>
  <c r="H1096" i="33"/>
  <c r="E1097" i="33"/>
  <c r="F1097" i="33"/>
  <c r="H1097" i="33"/>
  <c r="E1098" i="33"/>
  <c r="F1098" i="33"/>
  <c r="H1098" i="33"/>
  <c r="E1099" i="33"/>
  <c r="F1099" i="33"/>
  <c r="H1099" i="33"/>
  <c r="E1100" i="33"/>
  <c r="F1100" i="33"/>
  <c r="H1100" i="33"/>
  <c r="E1101" i="33"/>
  <c r="F1101" i="33"/>
  <c r="H1101" i="33"/>
  <c r="E1102" i="33"/>
  <c r="F1102" i="33"/>
  <c r="H1102" i="33"/>
  <c r="E1103" i="33"/>
  <c r="F1103" i="33"/>
  <c r="H1103" i="33"/>
  <c r="E1104" i="33"/>
  <c r="F1104" i="33"/>
  <c r="H1104" i="33"/>
  <c r="E1105" i="33"/>
  <c r="F1105" i="33"/>
  <c r="H1105" i="33"/>
  <c r="E1106" i="33"/>
  <c r="F1106" i="33"/>
  <c r="H1106" i="33"/>
  <c r="E1107" i="33"/>
  <c r="F1107" i="33"/>
  <c r="H1107" i="33"/>
  <c r="E1108" i="33"/>
  <c r="F1108" i="33"/>
  <c r="H1108" i="33"/>
  <c r="E1109" i="33"/>
  <c r="F1109" i="33"/>
  <c r="H1109" i="33"/>
  <c r="E1110" i="33"/>
  <c r="F1110" i="33"/>
  <c r="H1110" i="33"/>
  <c r="E1111" i="33"/>
  <c r="F1111" i="33"/>
  <c r="H1111" i="33"/>
  <c r="E1112" i="33"/>
  <c r="F1112" i="33"/>
  <c r="H1112" i="33"/>
  <c r="E1113" i="33"/>
  <c r="F1113" i="33"/>
  <c r="H1113" i="33"/>
  <c r="E1114" i="33"/>
  <c r="F1114" i="33"/>
  <c r="H1114" i="33"/>
  <c r="E1115" i="33"/>
  <c r="F1115" i="33"/>
  <c r="H1115" i="33"/>
  <c r="E1116" i="33"/>
  <c r="F1116" i="33"/>
  <c r="H1116" i="33"/>
  <c r="E1117" i="33"/>
  <c r="F1117" i="33"/>
  <c r="H1117" i="33"/>
  <c r="E1118" i="33"/>
  <c r="F1118" i="33"/>
  <c r="H1118" i="33"/>
  <c r="E1119" i="33"/>
  <c r="F1119" i="33"/>
  <c r="H1119" i="33"/>
  <c r="E1120" i="33"/>
  <c r="F1120" i="33"/>
  <c r="H1120" i="33"/>
  <c r="E1121" i="33"/>
  <c r="F1121" i="33"/>
  <c r="H1121" i="33"/>
  <c r="E1122" i="33"/>
  <c r="F1122" i="33"/>
  <c r="H1122" i="33"/>
  <c r="E1123" i="33"/>
  <c r="F1123" i="33"/>
  <c r="H1123" i="33"/>
  <c r="E1124" i="33"/>
  <c r="F1124" i="33"/>
  <c r="H1124" i="33"/>
  <c r="E1125" i="33"/>
  <c r="F1125" i="33"/>
  <c r="H1125" i="33"/>
  <c r="E1126" i="33"/>
  <c r="F1126" i="33"/>
  <c r="H1126" i="33"/>
  <c r="E1127" i="33"/>
  <c r="F1127" i="33"/>
  <c r="H1127" i="33"/>
  <c r="E1128" i="33"/>
  <c r="F1128" i="33"/>
  <c r="H1128" i="33"/>
  <c r="E1129" i="33"/>
  <c r="F1129" i="33"/>
  <c r="H1129" i="33"/>
  <c r="E1130" i="33"/>
  <c r="F1130" i="33"/>
  <c r="H1130" i="33"/>
  <c r="E1131" i="33"/>
  <c r="F1131" i="33"/>
  <c r="H1131" i="33"/>
  <c r="E1132" i="33"/>
  <c r="F1132" i="33"/>
  <c r="H1132" i="33"/>
  <c r="E1133" i="33"/>
  <c r="F1133" i="33"/>
  <c r="H1133" i="33"/>
  <c r="E1134" i="33"/>
  <c r="F1134" i="33"/>
  <c r="H1134" i="33"/>
  <c r="E1135" i="33"/>
  <c r="F1135" i="33"/>
  <c r="H1135" i="33"/>
  <c r="E1136" i="33"/>
  <c r="F1136" i="33"/>
  <c r="H1136" i="33"/>
  <c r="E1137" i="33"/>
  <c r="F1137" i="33"/>
  <c r="H1137" i="33"/>
  <c r="E1138" i="33"/>
  <c r="F1138" i="33"/>
  <c r="H1138" i="33"/>
  <c r="E1139" i="33"/>
  <c r="F1139" i="33"/>
  <c r="H1139" i="33"/>
  <c r="E1140" i="33"/>
  <c r="F1140" i="33"/>
  <c r="H1140" i="33"/>
  <c r="E1141" i="33"/>
  <c r="F1141" i="33"/>
  <c r="H1141" i="33"/>
  <c r="E1142" i="33"/>
  <c r="F1142" i="33"/>
  <c r="H1142" i="33"/>
  <c r="E1143" i="33"/>
  <c r="F1143" i="33"/>
  <c r="H1143" i="33"/>
  <c r="E1144" i="33"/>
  <c r="F1144" i="33"/>
  <c r="H1144" i="33"/>
  <c r="E1145" i="33"/>
  <c r="F1145" i="33"/>
  <c r="H1145" i="33"/>
  <c r="E1146" i="33"/>
  <c r="F1146" i="33"/>
  <c r="H1146" i="33"/>
  <c r="E1147" i="33"/>
  <c r="F1147" i="33"/>
  <c r="H1147" i="33"/>
  <c r="E1148" i="33"/>
  <c r="F1148" i="33"/>
  <c r="H1148" i="33"/>
  <c r="E1149" i="33"/>
  <c r="F1149" i="33"/>
  <c r="H1149" i="33"/>
  <c r="E1150" i="33"/>
  <c r="F1150" i="33"/>
  <c r="H1150" i="33"/>
  <c r="E1151" i="33"/>
  <c r="F1151" i="33"/>
  <c r="H1151" i="33"/>
  <c r="E1152" i="33"/>
  <c r="F1152" i="33"/>
  <c r="H1152" i="33"/>
  <c r="E1153" i="33"/>
  <c r="F1153" i="33"/>
  <c r="H1153" i="33"/>
  <c r="E1154" i="33"/>
  <c r="F1154" i="33"/>
  <c r="H1154" i="33"/>
  <c r="E1155" i="33"/>
  <c r="F1155" i="33"/>
  <c r="H1155" i="33"/>
  <c r="E1156" i="33"/>
  <c r="F1156" i="33"/>
  <c r="H1156" i="33"/>
  <c r="E1157" i="33"/>
  <c r="F1157" i="33"/>
  <c r="H1157" i="33"/>
  <c r="E1158" i="33"/>
  <c r="F1158" i="33"/>
  <c r="H1158" i="33"/>
  <c r="E1159" i="33"/>
  <c r="F1159" i="33"/>
  <c r="H1159" i="33"/>
  <c r="E1160" i="33"/>
  <c r="F1160" i="33"/>
  <c r="H1160" i="33"/>
  <c r="E1161" i="33"/>
  <c r="F1161" i="33"/>
  <c r="H1161" i="33"/>
  <c r="E1162" i="33"/>
  <c r="F1162" i="33"/>
  <c r="H1162" i="33"/>
  <c r="E1163" i="33"/>
  <c r="F1163" i="33"/>
  <c r="H1163" i="33"/>
  <c r="E1164" i="33"/>
  <c r="F1164" i="33"/>
  <c r="H1164" i="33"/>
  <c r="E1165" i="33"/>
  <c r="F1165" i="33"/>
  <c r="H1165" i="33"/>
  <c r="E1166" i="33"/>
  <c r="F1166" i="33"/>
  <c r="H1166" i="33"/>
  <c r="E1167" i="33"/>
  <c r="F1167" i="33"/>
  <c r="H1167" i="33"/>
  <c r="E1168" i="33"/>
  <c r="F1168" i="33"/>
  <c r="H1168" i="33"/>
  <c r="E1169" i="33"/>
  <c r="F1169" i="33"/>
  <c r="H1169" i="33"/>
  <c r="E1170" i="33"/>
  <c r="F1170" i="33"/>
  <c r="H1170" i="33"/>
  <c r="E1171" i="33"/>
  <c r="F1171" i="33"/>
  <c r="H1171" i="33"/>
  <c r="E1172" i="33"/>
  <c r="F1172" i="33"/>
  <c r="H1172" i="33"/>
  <c r="E1173" i="33"/>
  <c r="F1173" i="33"/>
  <c r="H1173" i="33"/>
  <c r="E1174" i="33"/>
  <c r="F1174" i="33"/>
  <c r="H1174" i="33"/>
  <c r="E1175" i="33"/>
  <c r="F1175" i="33"/>
  <c r="H1175" i="33"/>
  <c r="E1176" i="33"/>
  <c r="F1176" i="33"/>
  <c r="H1176" i="33"/>
  <c r="E1177" i="33"/>
  <c r="F1177" i="33"/>
  <c r="H1177" i="33"/>
  <c r="E1178" i="33"/>
  <c r="F1178" i="33"/>
  <c r="H1178" i="33"/>
  <c r="E1179" i="33"/>
  <c r="F1179" i="33"/>
  <c r="H1179" i="33"/>
  <c r="E1180" i="33"/>
  <c r="F1180" i="33"/>
  <c r="H1180" i="33"/>
  <c r="E1181" i="33"/>
  <c r="F1181" i="33"/>
  <c r="H1181" i="33"/>
  <c r="E1182" i="33"/>
  <c r="F1182" i="33"/>
  <c r="H1182" i="33"/>
  <c r="E1183" i="33"/>
  <c r="F1183" i="33"/>
  <c r="H1183" i="33"/>
  <c r="E1184" i="33"/>
  <c r="F1184" i="33"/>
  <c r="H1184" i="33"/>
  <c r="E1185" i="33"/>
  <c r="F1185" i="33"/>
  <c r="H1185" i="33"/>
  <c r="E1186" i="33"/>
  <c r="F1186" i="33"/>
  <c r="H1186" i="33"/>
  <c r="E1187" i="33"/>
  <c r="F1187" i="33"/>
  <c r="H1187" i="33"/>
  <c r="E1188" i="33"/>
  <c r="F1188" i="33"/>
  <c r="H1188" i="33"/>
  <c r="E1189" i="33"/>
  <c r="F1189" i="33"/>
  <c r="H1189" i="33"/>
  <c r="E1190" i="33"/>
  <c r="F1190" i="33"/>
  <c r="H1190" i="33"/>
  <c r="E1191" i="33"/>
  <c r="F1191" i="33"/>
  <c r="H1191" i="33"/>
  <c r="H2" i="33"/>
  <c r="F2" i="33"/>
  <c r="E2" i="33"/>
  <c r="D9" i="35"/>
  <c r="D8" i="35" s="1"/>
  <c r="D2" i="35" s="1"/>
  <c r="A8" i="35"/>
  <c r="B8" i="35" s="1"/>
  <c r="B2" i="35" s="1"/>
  <c r="H7" i="44" l="1"/>
  <c r="H3" i="44"/>
  <c r="AI2" i="44"/>
  <c r="AM2" i="44" s="1"/>
  <c r="AN2" i="44" s="1"/>
  <c r="J9" i="44"/>
  <c r="K9" i="44" s="1"/>
  <c r="H6" i="44"/>
  <c r="H10" i="44"/>
  <c r="J10" i="44" s="1"/>
  <c r="K10" i="44" s="1"/>
  <c r="G6" i="44"/>
  <c r="G7" i="44"/>
  <c r="J7" i="44" s="1"/>
  <c r="L7" i="44" s="1"/>
  <c r="G5" i="44"/>
  <c r="J6" i="44"/>
  <c r="K6" i="44" s="1"/>
  <c r="G4" i="44"/>
  <c r="G3" i="44"/>
  <c r="J3" i="44" s="1"/>
  <c r="H2" i="44"/>
  <c r="G2" i="44"/>
  <c r="H5" i="44"/>
  <c r="J5" i="44" s="1"/>
  <c r="L5" i="44" s="1"/>
  <c r="H13" i="44"/>
  <c r="J13" i="44" s="1"/>
  <c r="H12" i="44"/>
  <c r="J12" i="44" s="1"/>
  <c r="H11" i="44"/>
  <c r="J11" i="44" s="1"/>
  <c r="K11" i="44" s="1"/>
  <c r="H8" i="44"/>
  <c r="J8" i="44" s="1"/>
  <c r="H4" i="44"/>
  <c r="E8" i="35"/>
  <c r="R2" i="44"/>
  <c r="Z2" i="44" s="1"/>
  <c r="O6" i="44"/>
  <c r="O13" i="44"/>
  <c r="O5" i="44"/>
  <c r="O12" i="44"/>
  <c r="O4" i="44"/>
  <c r="O11" i="44"/>
  <c r="O3" i="44"/>
  <c r="O10" i="44"/>
  <c r="O2" i="44"/>
  <c r="O9" i="44"/>
  <c r="O8" i="44"/>
  <c r="O7" i="44"/>
  <c r="C2" i="35"/>
  <c r="W15" i="44" l="1"/>
  <c r="AE2" i="44"/>
  <c r="L9" i="44"/>
  <c r="J4" i="44"/>
  <c r="L4" i="44" s="1"/>
  <c r="T6" i="44" s="1"/>
  <c r="L6" i="44"/>
  <c r="K5" i="44"/>
  <c r="L11" i="44"/>
  <c r="L3" i="44"/>
  <c r="K3" i="44"/>
  <c r="S4" i="44" s="1"/>
  <c r="J2" i="44"/>
  <c r="K7" i="44"/>
  <c r="K4" i="44"/>
  <c r="L8" i="44"/>
  <c r="K8" i="44"/>
  <c r="S8" i="44" s="1"/>
  <c r="K12" i="44"/>
  <c r="S10" i="44" s="1"/>
  <c r="L12" i="44"/>
  <c r="T10" i="44" s="1"/>
  <c r="K13" i="44"/>
  <c r="S12" i="44" s="1"/>
  <c r="L13" i="44"/>
  <c r="L10" i="44"/>
  <c r="E2" i="35"/>
  <c r="P13" i="44"/>
  <c r="P5" i="44"/>
  <c r="P4" i="44"/>
  <c r="P3" i="44"/>
  <c r="P2" i="44"/>
  <c r="P9" i="44"/>
  <c r="T4" i="44" l="1"/>
  <c r="T8" i="44"/>
  <c r="S6" i="44"/>
  <c r="K2" i="44"/>
  <c r="S2" i="44" s="1"/>
  <c r="L2" i="44"/>
  <c r="T2" i="44" s="1"/>
  <c r="T12" i="44"/>
  <c r="P10" i="44"/>
  <c r="AB6" i="44" s="1"/>
  <c r="Y16" i="44" s="1"/>
  <c r="P6" i="44"/>
  <c r="P11" i="44"/>
  <c r="P7" i="44"/>
  <c r="P8" i="44"/>
  <c r="P12" i="44"/>
  <c r="AA2" i="44" l="1"/>
  <c r="AA10" i="44"/>
  <c r="AB2" i="44"/>
  <c r="Y15" i="44" s="1"/>
  <c r="AA6" i="44"/>
  <c r="AB10" i="44"/>
  <c r="Y17" i="44" s="1"/>
  <c r="A2" i="35"/>
  <c r="X16" i="44" l="1"/>
  <c r="Z16" i="44" s="1"/>
  <c r="AC3" i="44"/>
  <c r="X17" i="44"/>
  <c r="Z17" i="44" s="1"/>
  <c r="AC4" i="44"/>
  <c r="X15" i="44"/>
  <c r="Z15" i="44" s="1"/>
  <c r="W19" i="44" s="1" a="1"/>
  <c r="AC2" i="44"/>
  <c r="W19" i="4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<sst xmlns="http://schemas.openxmlformats.org/spreadsheetml/2006/main" count="648" uniqueCount="528">
  <si>
    <t>CRCP DESIGN PROGRAM BASED ON MECHANISTIC-EMPIRICAL PRINCIPLES</t>
  </si>
  <si>
    <t>Subgrade Type</t>
  </si>
  <si>
    <t>WFS</t>
  </si>
  <si>
    <t>AMA</t>
  </si>
  <si>
    <t>CHS</t>
  </si>
  <si>
    <t>LBB</t>
  </si>
  <si>
    <t>SJT</t>
  </si>
  <si>
    <t>ODA</t>
  </si>
  <si>
    <t>ABL</t>
  </si>
  <si>
    <t>ELP</t>
  </si>
  <si>
    <t>FTW</t>
  </si>
  <si>
    <t>DAL</t>
  </si>
  <si>
    <t>ATL</t>
  </si>
  <si>
    <t>BWD</t>
  </si>
  <si>
    <t>LFK</t>
  </si>
  <si>
    <t>SAT</t>
  </si>
  <si>
    <t>LRD</t>
  </si>
  <si>
    <t>BMT</t>
  </si>
  <si>
    <t>CRP</t>
  </si>
  <si>
    <t>PHR</t>
  </si>
  <si>
    <t>YKM</t>
  </si>
  <si>
    <t>Harris</t>
  </si>
  <si>
    <t>Input</t>
  </si>
  <si>
    <t>L Bound</t>
  </si>
  <si>
    <t>WAC</t>
  </si>
  <si>
    <t>AUS</t>
  </si>
  <si>
    <t>BRY</t>
  </si>
  <si>
    <t>HOU</t>
  </si>
  <si>
    <t>PAR</t>
  </si>
  <si>
    <t>TYL</t>
  </si>
  <si>
    <t>K</t>
  </si>
  <si>
    <t>SP</t>
  </si>
  <si>
    <t>Gravel</t>
  </si>
  <si>
    <t>A-1-a</t>
  </si>
  <si>
    <t>GW or GP</t>
  </si>
  <si>
    <t>Coarse Sand</t>
  </si>
  <si>
    <t>A-1-b</t>
  </si>
  <si>
    <t>SW</t>
  </si>
  <si>
    <t>Fine Sand</t>
  </si>
  <si>
    <t>A-3</t>
  </si>
  <si>
    <t>A-2-6</t>
  </si>
  <si>
    <t>A-2-7</t>
  </si>
  <si>
    <t>A-4</t>
  </si>
  <si>
    <t>ML or OL</t>
  </si>
  <si>
    <t>Poorly Graded Silt</t>
  </si>
  <si>
    <t>A-5</t>
  </si>
  <si>
    <t>MH</t>
  </si>
  <si>
    <t>Plastic Clay</t>
  </si>
  <si>
    <t>A-6</t>
  </si>
  <si>
    <t>CL</t>
  </si>
  <si>
    <t>Moderately Plastic Elastic Clay</t>
  </si>
  <si>
    <t>A-7-5</t>
  </si>
  <si>
    <t>CL or OL</t>
  </si>
  <si>
    <t>Highly Plastic Elastic Clay</t>
  </si>
  <si>
    <t>A-7-6</t>
  </si>
  <si>
    <t>CH or OH</t>
  </si>
  <si>
    <t>AASHTO</t>
  </si>
  <si>
    <t>Soil Classification System</t>
  </si>
  <si>
    <t>USCS</t>
  </si>
  <si>
    <t>Silty Gravel</t>
  </si>
  <si>
    <t>Silty Sandy Gravel</t>
  </si>
  <si>
    <t>Silty Sand</t>
  </si>
  <si>
    <t>Silty Gravelly Sand</t>
  </si>
  <si>
    <t>Clayey Gravel</t>
  </si>
  <si>
    <t>Clayey Sandy Gravel</t>
  </si>
  <si>
    <t>Clayey Sand</t>
  </si>
  <si>
    <t>Clayey Gravelly Sand</t>
  </si>
  <si>
    <t>Silt</t>
  </si>
  <si>
    <t>A-2-4</t>
  </si>
  <si>
    <t>A-2-5</t>
  </si>
  <si>
    <t>GW</t>
  </si>
  <si>
    <t>GP</t>
  </si>
  <si>
    <t>GM</t>
  </si>
  <si>
    <t>SM</t>
  </si>
  <si>
    <t>GC</t>
  </si>
  <si>
    <t>SC</t>
  </si>
  <si>
    <t>Soil Description</t>
  </si>
  <si>
    <t>Silt / Sand / Gravel Mix</t>
  </si>
  <si>
    <t>Coarse Grained Soils</t>
  </si>
  <si>
    <t>Granular Materials with High Fines</t>
  </si>
  <si>
    <t>Fine Grained Soils</t>
  </si>
  <si>
    <t>ML</t>
  </si>
  <si>
    <t>OL</t>
  </si>
  <si>
    <t>CH</t>
  </si>
  <si>
    <t>OH</t>
  </si>
  <si>
    <t xml:space="preserve"> Highway</t>
  </si>
  <si>
    <t xml:space="preserve"> CSJ</t>
  </si>
  <si>
    <t xml:space="preserve"> Direction</t>
  </si>
  <si>
    <t xml:space="preserve"> Station (Begin)</t>
  </si>
  <si>
    <t xml:space="preserve"> Station (End)</t>
  </si>
  <si>
    <t xml:space="preserve"> A. Project Identification</t>
  </si>
  <si>
    <t xml:space="preserve"> B. Design Parameters</t>
  </si>
  <si>
    <t xml:space="preserve"> Design Life (year)</t>
  </si>
  <si>
    <t xml:space="preserve"> C. Design Traffic</t>
  </si>
  <si>
    <t xml:space="preserve"> D. Concrete Layer Information</t>
  </si>
  <si>
    <t xml:space="preserve"> Soil Classification System</t>
  </si>
  <si>
    <t xml:space="preserve"> Soil Classification of Subgrade</t>
  </si>
  <si>
    <t xml:space="preserve"> Base Type</t>
  </si>
  <si>
    <t xml:space="preserve"> INPUT DATA</t>
  </si>
  <si>
    <t xml:space="preserve"> Total Number of Lanes in One Direction</t>
  </si>
  <si>
    <t>Borden</t>
  </si>
  <si>
    <t>Callahan</t>
  </si>
  <si>
    <t>Fisher</t>
  </si>
  <si>
    <t>Haskell</t>
  </si>
  <si>
    <t>Howard</t>
  </si>
  <si>
    <t>Jones</t>
  </si>
  <si>
    <t>Kent</t>
  </si>
  <si>
    <t>Mitchell</t>
  </si>
  <si>
    <t>Nolan</t>
  </si>
  <si>
    <t>Scurry</t>
  </si>
  <si>
    <t>Shackelford</t>
  </si>
  <si>
    <t>Stonewall</t>
  </si>
  <si>
    <t>Taylor</t>
  </si>
  <si>
    <t>Armstrong</t>
  </si>
  <si>
    <t>Carson</t>
  </si>
  <si>
    <t>Dallam</t>
  </si>
  <si>
    <t>Deaf Smith</t>
  </si>
  <si>
    <t>Gray</t>
  </si>
  <si>
    <t>Hansford</t>
  </si>
  <si>
    <t>Hartley</t>
  </si>
  <si>
    <t>Hemphill</t>
  </si>
  <si>
    <t>Hutchinson</t>
  </si>
  <si>
    <t>Lipscomb</t>
  </si>
  <si>
    <t>Moore</t>
  </si>
  <si>
    <t>Ochiltree</t>
  </si>
  <si>
    <t>Oldham</t>
  </si>
  <si>
    <t>Potter</t>
  </si>
  <si>
    <t>Randall</t>
  </si>
  <si>
    <t>Roberts</t>
  </si>
  <si>
    <t>Sherman</t>
  </si>
  <si>
    <t>Bowie</t>
  </si>
  <si>
    <t>Camp</t>
  </si>
  <si>
    <t>Cass</t>
  </si>
  <si>
    <t>Harrison</t>
  </si>
  <si>
    <t>Marion</t>
  </si>
  <si>
    <t>Morris</t>
  </si>
  <si>
    <t>Panola</t>
  </si>
  <si>
    <t>Titus</t>
  </si>
  <si>
    <t>Upshur</t>
  </si>
  <si>
    <t>Bastrop</t>
  </si>
  <si>
    <t>Blanco</t>
  </si>
  <si>
    <t>Burnet</t>
  </si>
  <si>
    <t>Caldwell</t>
  </si>
  <si>
    <t>Gillespie</t>
  </si>
  <si>
    <t>Hays</t>
  </si>
  <si>
    <t>Lee</t>
  </si>
  <si>
    <t>Llano</t>
  </si>
  <si>
    <t>Mason</t>
  </si>
  <si>
    <t>Travis</t>
  </si>
  <si>
    <t>Williamson</t>
  </si>
  <si>
    <t>Chambers</t>
  </si>
  <si>
    <t>Hardin</t>
  </si>
  <si>
    <t>Jasper</t>
  </si>
  <si>
    <t>Jefferson</t>
  </si>
  <si>
    <t>Liberty</t>
  </si>
  <si>
    <t>Newton</t>
  </si>
  <si>
    <t>Orange</t>
  </si>
  <si>
    <t>Tyler</t>
  </si>
  <si>
    <t>Brazos</t>
  </si>
  <si>
    <t>Burleson</t>
  </si>
  <si>
    <t>Freestone</t>
  </si>
  <si>
    <t>Grimes</t>
  </si>
  <si>
    <t>Leon</t>
  </si>
  <si>
    <t>Madison</t>
  </si>
  <si>
    <t>Milam</t>
  </si>
  <si>
    <t>Robertson</t>
  </si>
  <si>
    <t>Walker</t>
  </si>
  <si>
    <t>Washington</t>
  </si>
  <si>
    <t>Brown</t>
  </si>
  <si>
    <t>Coleman</t>
  </si>
  <si>
    <t>Comanche</t>
  </si>
  <si>
    <t>Eastland</t>
  </si>
  <si>
    <t>Lampasas</t>
  </si>
  <si>
    <t>McCulloch</t>
  </si>
  <si>
    <t>Mills</t>
  </si>
  <si>
    <t>San Saba</t>
  </si>
  <si>
    <t>Stephens</t>
  </si>
  <si>
    <t>Briscoe</t>
  </si>
  <si>
    <t>Childress</t>
  </si>
  <si>
    <t>Collingsworth</t>
  </si>
  <si>
    <t>Cottle</t>
  </si>
  <si>
    <t>Dickens</t>
  </si>
  <si>
    <t>Donley</t>
  </si>
  <si>
    <t>Foard</t>
  </si>
  <si>
    <t>Hall</t>
  </si>
  <si>
    <t>Hardeman</t>
  </si>
  <si>
    <t>King</t>
  </si>
  <si>
    <t>Knox</t>
  </si>
  <si>
    <t>Motley</t>
  </si>
  <si>
    <t>Wheeler</t>
  </si>
  <si>
    <t>Aransas</t>
  </si>
  <si>
    <t>Bee</t>
  </si>
  <si>
    <t>Goliad</t>
  </si>
  <si>
    <t>Jim Wells</t>
  </si>
  <si>
    <t>Karnes</t>
  </si>
  <si>
    <t>Kleberg</t>
  </si>
  <si>
    <t>Live Oak</t>
  </si>
  <si>
    <t>Nueces</t>
  </si>
  <si>
    <t>Refugio</t>
  </si>
  <si>
    <t>San Patricio</t>
  </si>
  <si>
    <t>Collin</t>
  </si>
  <si>
    <t>Dallas</t>
  </si>
  <si>
    <t>Denton</t>
  </si>
  <si>
    <t>Ellis</t>
  </si>
  <si>
    <t>Kaufman</t>
  </si>
  <si>
    <t>Navarro</t>
  </si>
  <si>
    <t>Rockwall</t>
  </si>
  <si>
    <t>Brewster</t>
  </si>
  <si>
    <t>Culberson</t>
  </si>
  <si>
    <t>El Paso</t>
  </si>
  <si>
    <t>Hudspeth</t>
  </si>
  <si>
    <t>Jeff Davis</t>
  </si>
  <si>
    <t>Presidio</t>
  </si>
  <si>
    <t>Erath</t>
  </si>
  <si>
    <t>Hood</t>
  </si>
  <si>
    <t>Jack</t>
  </si>
  <si>
    <t>Johnson</t>
  </si>
  <si>
    <t>Palo Pinto</t>
  </si>
  <si>
    <t>Parker</t>
  </si>
  <si>
    <t>Somervell</t>
  </si>
  <si>
    <t>Tarrant</t>
  </si>
  <si>
    <t>Wise</t>
  </si>
  <si>
    <t>Brazoria</t>
  </si>
  <si>
    <t>Fort Bend</t>
  </si>
  <si>
    <t>Galveston</t>
  </si>
  <si>
    <t>Montgomery</t>
  </si>
  <si>
    <t>Waller</t>
  </si>
  <si>
    <t>Bailey</t>
  </si>
  <si>
    <t>Castro</t>
  </si>
  <si>
    <t>Cochran</t>
  </si>
  <si>
    <t>Crosby</t>
  </si>
  <si>
    <t>Dawson</t>
  </si>
  <si>
    <t>Floyd</t>
  </si>
  <si>
    <t>Gaines</t>
  </si>
  <si>
    <t>Garza</t>
  </si>
  <si>
    <t>Hale</t>
  </si>
  <si>
    <t>Hockley</t>
  </si>
  <si>
    <t>Lamb</t>
  </si>
  <si>
    <t>Lubbock</t>
  </si>
  <si>
    <t>Lynn</t>
  </si>
  <si>
    <t>Parmer</t>
  </si>
  <si>
    <t>Swisher</t>
  </si>
  <si>
    <t>Terry</t>
  </si>
  <si>
    <t>Yoakum</t>
  </si>
  <si>
    <t>Angelina</t>
  </si>
  <si>
    <t>Houston</t>
  </si>
  <si>
    <t>Nacogdoches</t>
  </si>
  <si>
    <t>Polk</t>
  </si>
  <si>
    <t>Sabine</t>
  </si>
  <si>
    <t>San Augustine</t>
  </si>
  <si>
    <t>San Jacinto</t>
  </si>
  <si>
    <t>Shelby</t>
  </si>
  <si>
    <t>Trinity</t>
  </si>
  <si>
    <t>Dimmit</t>
  </si>
  <si>
    <t>Duval</t>
  </si>
  <si>
    <t>Kinney</t>
  </si>
  <si>
    <t>La Salle</t>
  </si>
  <si>
    <t>Maverick</t>
  </si>
  <si>
    <t>Val Verde</t>
  </si>
  <si>
    <t>Webb</t>
  </si>
  <si>
    <t>Zavala</t>
  </si>
  <si>
    <t>Andrews</t>
  </si>
  <si>
    <t>Crane</t>
  </si>
  <si>
    <t>Ector</t>
  </si>
  <si>
    <t>Loving</t>
  </si>
  <si>
    <t>Martin</t>
  </si>
  <si>
    <t>Midland</t>
  </si>
  <si>
    <t>Pecos</t>
  </si>
  <si>
    <t>Reeves</t>
  </si>
  <si>
    <t>Terrell</t>
  </si>
  <si>
    <t>Upton</t>
  </si>
  <si>
    <t>Ward</t>
  </si>
  <si>
    <t>Winkler</t>
  </si>
  <si>
    <t>Delta</t>
  </si>
  <si>
    <t>Fannin</t>
  </si>
  <si>
    <t>Franklin</t>
  </si>
  <si>
    <t>Grayson</t>
  </si>
  <si>
    <t>Hopkins</t>
  </si>
  <si>
    <t>Hunt</t>
  </si>
  <si>
    <t>Lamar</t>
  </si>
  <si>
    <t>Rains</t>
  </si>
  <si>
    <t>Red River</t>
  </si>
  <si>
    <t>Brooks</t>
  </si>
  <si>
    <t>Cameron</t>
  </si>
  <si>
    <t>Hidalgo</t>
  </si>
  <si>
    <t>Jim Hogg</t>
  </si>
  <si>
    <t>Kenedy</t>
  </si>
  <si>
    <t>Starr</t>
  </si>
  <si>
    <t>Willacy</t>
  </si>
  <si>
    <t>Zapata</t>
  </si>
  <si>
    <t>Atascosa</t>
  </si>
  <si>
    <t>Bandera</t>
  </si>
  <si>
    <t>Bexar</t>
  </si>
  <si>
    <t>Comal</t>
  </si>
  <si>
    <t>Frio</t>
  </si>
  <si>
    <t>Guadalupe</t>
  </si>
  <si>
    <t>Kendall</t>
  </si>
  <si>
    <t>Kerr</t>
  </si>
  <si>
    <t>McMullen</t>
  </si>
  <si>
    <t>Medina</t>
  </si>
  <si>
    <t>Uvalde</t>
  </si>
  <si>
    <t>Wilson</t>
  </si>
  <si>
    <t>Coke</t>
  </si>
  <si>
    <t>Concho</t>
  </si>
  <si>
    <t>Crockett</t>
  </si>
  <si>
    <t>Edwards</t>
  </si>
  <si>
    <t>Glasscock</t>
  </si>
  <si>
    <t>Irion</t>
  </si>
  <si>
    <t>Kimble</t>
  </si>
  <si>
    <t>Menard</t>
  </si>
  <si>
    <t>Reagan</t>
  </si>
  <si>
    <t>Real</t>
  </si>
  <si>
    <t>Runnels</t>
  </si>
  <si>
    <t>Schleicher</t>
  </si>
  <si>
    <t>Sterling</t>
  </si>
  <si>
    <t>Sutton</t>
  </si>
  <si>
    <t>Tom Green</t>
  </si>
  <si>
    <t>Anderson</t>
  </si>
  <si>
    <t>Cherokee</t>
  </si>
  <si>
    <t>Gregg</t>
  </si>
  <si>
    <t>Henderson</t>
  </si>
  <si>
    <t>Rusk</t>
  </si>
  <si>
    <t>Smith</t>
  </si>
  <si>
    <t>Van Zandt</t>
  </si>
  <si>
    <t>Wood</t>
  </si>
  <si>
    <t>Bell</t>
  </si>
  <si>
    <t>Bosque</t>
  </si>
  <si>
    <t>Coryell</t>
  </si>
  <si>
    <t>Falls</t>
  </si>
  <si>
    <t>Hamilton</t>
  </si>
  <si>
    <t>Hill</t>
  </si>
  <si>
    <t>Limestone</t>
  </si>
  <si>
    <t>McLennan</t>
  </si>
  <si>
    <t>Archer</t>
  </si>
  <si>
    <t>Baylor</t>
  </si>
  <si>
    <t>Clay</t>
  </si>
  <si>
    <t>Cooke</t>
  </si>
  <si>
    <t>Montague</t>
  </si>
  <si>
    <t>Throckmorton</t>
  </si>
  <si>
    <t>Wichita</t>
  </si>
  <si>
    <t>Wilbarger</t>
  </si>
  <si>
    <t>Young</t>
  </si>
  <si>
    <t>Austin</t>
  </si>
  <si>
    <t>Calhoun</t>
  </si>
  <si>
    <t>Colorado</t>
  </si>
  <si>
    <t>DeWitt</t>
  </si>
  <si>
    <t>Fayette</t>
  </si>
  <si>
    <t>Gonzales</t>
  </si>
  <si>
    <t>Jackson</t>
  </si>
  <si>
    <t>Lavaca</t>
  </si>
  <si>
    <t>Matagorda</t>
  </si>
  <si>
    <t>Victoria</t>
  </si>
  <si>
    <t>Wharton</t>
  </si>
  <si>
    <t xml:space="preserve"> Total Design Traffic in One Direction (million ESALs)</t>
  </si>
  <si>
    <t>CTB</t>
  </si>
  <si>
    <t xml:space="preserve"> E. Support Layers Information</t>
  </si>
  <si>
    <t>ATB</t>
  </si>
  <si>
    <t>HMA</t>
  </si>
  <si>
    <t>Developed for KICT Project</t>
  </si>
  <si>
    <r>
      <rPr>
        <b/>
        <sz val="10"/>
        <color theme="1"/>
        <rFont val="Arial"/>
        <family val="2"/>
      </rPr>
      <t xml:space="preserve">Version: </t>
    </r>
    <r>
      <rPr>
        <b/>
        <u/>
        <sz val="10"/>
        <color theme="1"/>
        <rFont val="Arial"/>
        <family val="2"/>
      </rPr>
      <t>Draft</t>
    </r>
  </si>
  <si>
    <t xml:space="preserve"> 28-Day Modulus of Rupture (MPa)</t>
  </si>
  <si>
    <t xml:space="preserve"> Base Thickness (cm.)</t>
  </si>
  <si>
    <t xml:space="preserve"> Modulus of Base Layer (MPa)</t>
  </si>
  <si>
    <t xml:space="preserve"> Composite K (MPa/m)</t>
  </si>
  <si>
    <t xml:space="preserve"> Number of Punchouts per Kilometer</t>
  </si>
  <si>
    <t>Subgrade K-Value (MPa/m)</t>
  </si>
  <si>
    <t>Base Thickness (cm)</t>
  </si>
  <si>
    <t>Modulus of Base Layer (MPa)</t>
  </si>
  <si>
    <t>Composite K (MPa/m)</t>
  </si>
  <si>
    <t>Subgrade K-Value (psi/in)</t>
  </si>
  <si>
    <t>Base Thickness (in)</t>
  </si>
  <si>
    <t>Modulus of Base Layer (ksi)</t>
  </si>
  <si>
    <t>Composite K (psi/in)</t>
  </si>
  <si>
    <t>English Units</t>
  </si>
  <si>
    <t>Thickness of Existing Concrete (cm)</t>
  </si>
  <si>
    <t>Region</t>
  </si>
  <si>
    <t>Area</t>
  </si>
  <si>
    <t>Thickness of CRCP Overlay</t>
  </si>
  <si>
    <t>Thickness of Existing Concrete</t>
  </si>
  <si>
    <t>H1</t>
  </si>
  <si>
    <t>H2</t>
  </si>
  <si>
    <t>고산</t>
  </si>
  <si>
    <t>성산</t>
  </si>
  <si>
    <t>서귀포</t>
  </si>
  <si>
    <t>제주</t>
  </si>
  <si>
    <t>흑산도</t>
  </si>
  <si>
    <t>진도군</t>
  </si>
  <si>
    <t>완도</t>
  </si>
  <si>
    <t>여수</t>
  </si>
  <si>
    <t>울릉도</t>
  </si>
  <si>
    <t>통영</t>
  </si>
  <si>
    <t>보성군</t>
  </si>
  <si>
    <t>거제</t>
  </si>
  <si>
    <t>목포</t>
  </si>
  <si>
    <t>고흥</t>
  </si>
  <si>
    <t>광양시</t>
  </si>
  <si>
    <t>북창원</t>
  </si>
  <si>
    <t>남해</t>
  </si>
  <si>
    <t>장흥</t>
  </si>
  <si>
    <t>부산</t>
  </si>
  <si>
    <t>강진군</t>
  </si>
  <si>
    <t>양산시</t>
  </si>
  <si>
    <t>백령도</t>
  </si>
  <si>
    <t>김해시</t>
  </si>
  <si>
    <t>광주</t>
  </si>
  <si>
    <t>동해</t>
  </si>
  <si>
    <t>순천</t>
  </si>
  <si>
    <t>보령</t>
  </si>
  <si>
    <t>해남</t>
  </si>
  <si>
    <t>창원</t>
  </si>
  <si>
    <t>울진</t>
  </si>
  <si>
    <t>군산</t>
  </si>
  <si>
    <t>포항</t>
  </si>
  <si>
    <t>울산</t>
  </si>
  <si>
    <t>산청</t>
  </si>
  <si>
    <t>영광군</t>
  </si>
  <si>
    <t>경주시</t>
  </si>
  <si>
    <t>대구</t>
  </si>
  <si>
    <t>의령군</t>
  </si>
  <si>
    <t>구미</t>
  </si>
  <si>
    <t>북강릉</t>
  </si>
  <si>
    <t>고창군</t>
  </si>
  <si>
    <t>진주</t>
  </si>
  <si>
    <t>정읍</t>
  </si>
  <si>
    <t>고창</t>
  </si>
  <si>
    <t>홍성</t>
  </si>
  <si>
    <t>함양군</t>
  </si>
  <si>
    <t>강릉</t>
  </si>
  <si>
    <t>추풍령</t>
  </si>
  <si>
    <t>전주</t>
  </si>
  <si>
    <t>상주</t>
  </si>
  <si>
    <t>순창군</t>
  </si>
  <si>
    <t>해주</t>
  </si>
  <si>
    <t>밀양</t>
  </si>
  <si>
    <t>영덕</t>
  </si>
  <si>
    <t>용연</t>
  </si>
  <si>
    <t>속초</t>
  </si>
  <si>
    <t>인천</t>
  </si>
  <si>
    <t>부안</t>
  </si>
  <si>
    <t>장전</t>
  </si>
  <si>
    <t>영천</t>
  </si>
  <si>
    <t>문경</t>
  </si>
  <si>
    <t>거창</t>
  </si>
  <si>
    <t>서산</t>
  </si>
  <si>
    <t>합천</t>
  </si>
  <si>
    <t>김책</t>
  </si>
  <si>
    <t>남포</t>
  </si>
  <si>
    <t>청진</t>
  </si>
  <si>
    <t>대전</t>
  </si>
  <si>
    <t>원산</t>
  </si>
  <si>
    <t>사리원</t>
  </si>
  <si>
    <t>청주</t>
  </si>
  <si>
    <t>남원</t>
  </si>
  <si>
    <t>개성</t>
  </si>
  <si>
    <t>태백</t>
  </si>
  <si>
    <t>평양</t>
  </si>
  <si>
    <t>수원</t>
  </si>
  <si>
    <t>강화</t>
  </si>
  <si>
    <t>선봉</t>
  </si>
  <si>
    <t>청송군</t>
  </si>
  <si>
    <t>서울</t>
  </si>
  <si>
    <t>안주</t>
  </si>
  <si>
    <t>신의주</t>
  </si>
  <si>
    <t>부여</t>
  </si>
  <si>
    <t>영주</t>
  </si>
  <si>
    <t>함흥</t>
  </si>
  <si>
    <t>신포</t>
  </si>
  <si>
    <t>안동</t>
  </si>
  <si>
    <t>임실</t>
  </si>
  <si>
    <t>정선군</t>
  </si>
  <si>
    <t>장수</t>
  </si>
  <si>
    <t>원주</t>
  </si>
  <si>
    <t>신계</t>
  </si>
  <si>
    <t>보은</t>
  </si>
  <si>
    <t>금산</t>
  </si>
  <si>
    <t>천안</t>
  </si>
  <si>
    <t>충주</t>
  </si>
  <si>
    <t>대관령</t>
  </si>
  <si>
    <t>양평</t>
  </si>
  <si>
    <t>파주</t>
  </si>
  <si>
    <t>북춘천</t>
  </si>
  <si>
    <t>인제</t>
  </si>
  <si>
    <t>수풍</t>
  </si>
  <si>
    <t>이천</t>
  </si>
  <si>
    <t>영월</t>
  </si>
  <si>
    <t>희천</t>
  </si>
  <si>
    <t>의성</t>
  </si>
  <si>
    <t>평강</t>
  </si>
  <si>
    <t>춘천</t>
  </si>
  <si>
    <t>구성</t>
  </si>
  <si>
    <t>동두천</t>
  </si>
  <si>
    <t>제천</t>
  </si>
  <si>
    <t>봉화</t>
  </si>
  <si>
    <t>풍산</t>
  </si>
  <si>
    <t>양덕</t>
  </si>
  <si>
    <t>철원</t>
  </si>
  <si>
    <t>홍천</t>
  </si>
  <si>
    <t>강계</t>
  </si>
  <si>
    <t>장진</t>
  </si>
  <si>
    <t>삼지연</t>
  </si>
  <si>
    <t>중강</t>
  </si>
  <si>
    <t>혜산</t>
  </si>
  <si>
    <t>Average Maximum (C)</t>
  </si>
  <si>
    <t>Average Minimum (C)</t>
  </si>
  <si>
    <t>Average Temperature (C)</t>
  </si>
  <si>
    <t>H Bound</t>
  </si>
  <si>
    <t>ID</t>
  </si>
  <si>
    <t xml:space="preserve"> T80: 80% of Maximum Temperature (F)
 H1: Thickness of Existing Concrete (in.)
H2: Thickness of the CRCP Overlay (in.)
 K: Composite K (psi/in.)
 STR (T): Concrete Stress (T) (psi)
 STR (E): Concrete Stress (E) (psi)</t>
  </si>
  <si>
    <t>Composite K</t>
  </si>
  <si>
    <t>Stress</t>
  </si>
  <si>
    <t>max ESALs</t>
  </si>
  <si>
    <t>ESALs</t>
  </si>
  <si>
    <t>Comp K</t>
  </si>
  <si>
    <t>STR</t>
  </si>
  <si>
    <t>FD</t>
  </si>
  <si>
    <t>PO</t>
  </si>
  <si>
    <t>Input 
ESALs</t>
  </si>
  <si>
    <t>Input
STR</t>
  </si>
  <si>
    <t>Subgrade Modulus</t>
  </si>
  <si>
    <t>Lean Concrete Thickness (cm)</t>
  </si>
  <si>
    <t>Aggregate Base Thickness (cm)</t>
  </si>
  <si>
    <t>K-Value</t>
  </si>
  <si>
    <t>Lean Concrete</t>
  </si>
  <si>
    <t xml:space="preserve"> To run the program, follow the steps below.
 1. Provide input values.
 2. Press "Ctrl" + "k." or Press the "Design CRCP Overlay Thickness" button.</t>
  </si>
  <si>
    <t>MR Des</t>
  </si>
  <si>
    <t>MR Inp</t>
  </si>
  <si>
    <t xml:space="preserve"> CRCP DESIGN RESULT</t>
  </si>
  <si>
    <t xml:space="preserve"> Thickness of CRCP Overlay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</si>
</sst>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_ "/>
  </numFmts>
  <fonts count="3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CC"/>
      <name val="Arial"/>
      <family val="2"/>
    </font>
    <font>
      <sz val="10"/>
      <name val="Arial"/>
      <family val="2"/>
    </font>
    <font>
      <sz val="8"/>
      <name val="돋움"/>
      <family val="3"/>
      <charset val="129"/>
    </font>
    <font>
      <b/>
      <sz val="12.5"/>
      <color theme="1"/>
      <name val="Arial"/>
      <family val="2"/>
    </font>
    <font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CE29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91">
    <xf numFmtId="0" fontId="0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9" applyNumberFormat="0" applyAlignment="0" applyProtection="0"/>
    <xf numFmtId="0" fontId="18" fillId="9" borderId="10" applyNumberFormat="0" applyAlignment="0" applyProtection="0"/>
    <xf numFmtId="0" fontId="19" fillId="9" borderId="9" applyNumberFormat="0" applyAlignment="0" applyProtection="0"/>
    <xf numFmtId="0" fontId="20" fillId="0" borderId="11" applyNumberFormat="0" applyFill="0" applyAlignment="0" applyProtection="0"/>
    <xf numFmtId="0" fontId="21" fillId="10" borderId="12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4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4" fillId="35" borderId="0" applyNumberFormat="0" applyBorder="0" applyAlignment="0" applyProtection="0"/>
    <xf numFmtId="0" fontId="3" fillId="0" borderId="0"/>
    <xf numFmtId="0" fontId="3" fillId="11" borderId="13" applyNumberFormat="0" applyFont="0" applyAlignment="0" applyProtection="0"/>
    <xf numFmtId="0" fontId="2" fillId="0" borderId="0"/>
    <xf numFmtId="0" fontId="2" fillId="11" borderId="1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6" fillId="0" borderId="0"/>
    <xf numFmtId="0" fontId="1" fillId="0" borderId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  <xf numFmtId="0" fontId="1" fillId="0" borderId="0"/>
    <xf numFmtId="0" fontId="1" fillId="0" borderId="0"/>
    <xf numFmtId="0" fontId="1" fillId="11" borderId="13" applyNumberFormat="0" applyFont="0" applyAlignment="0" applyProtection="0"/>
    <xf numFmtId="0" fontId="1" fillId="0" borderId="0"/>
    <xf numFmtId="0" fontId="1" fillId="11" borderId="1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</cellStyleXfs>
  <cellXfs count="131">
    <xf numFmtId="0" fontId="0" fillId="0" borderId="0" xfId="0"/>
    <xf numFmtId="0" fontId="5" fillId="0" borderId="1" xfId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" fontId="6" fillId="2" borderId="1" xfId="1" applyNumberFormat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 applyProtection="1">
      <alignment vertical="center"/>
    </xf>
    <xf numFmtId="0" fontId="25" fillId="0" borderId="0" xfId="0" applyFont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29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36" borderId="1" xfId="0" applyFont="1" applyFill="1" applyBorder="1" applyAlignment="1" applyProtection="1">
      <alignment vertical="center"/>
    </xf>
    <xf numFmtId="0" fontId="5" fillId="36" borderId="1" xfId="0" applyFont="1" applyFill="1" applyBorder="1" applyAlignment="1" applyProtection="1">
      <alignment horizontal="center" vertical="center"/>
      <protection locked="0"/>
    </xf>
    <xf numFmtId="3" fontId="5" fillId="36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vertical="center"/>
    </xf>
    <xf numFmtId="1" fontId="5" fillId="0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6" borderId="1" xfId="0" applyFont="1" applyFill="1" applyBorder="1" applyAlignment="1">
      <alignment horizontal="center" vertical="center"/>
    </xf>
    <xf numFmtId="0" fontId="5" fillId="0" borderId="0" xfId="0" applyFont="1"/>
    <xf numFmtId="0" fontId="5" fillId="0" borderId="2" xfId="1" applyFont="1" applyFill="1" applyBorder="1" applyAlignment="1">
      <alignment horizontal="center" vertical="center"/>
    </xf>
    <xf numFmtId="0" fontId="5" fillId="36" borderId="1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3" fontId="5" fillId="0" borderId="1" xfId="0" applyNumberFormat="1" applyFont="1" applyFill="1" applyBorder="1" applyAlignment="1" applyProtection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37" borderId="1" xfId="0" applyFont="1" applyFill="1" applyBorder="1" applyAlignment="1">
      <alignment horizontal="center" vertical="center"/>
    </xf>
    <xf numFmtId="0" fontId="6" fillId="37" borderId="1" xfId="0" applyFont="1" applyFill="1" applyBorder="1" applyAlignment="1">
      <alignment horizontal="center" vertical="center" wrapText="1"/>
    </xf>
    <xf numFmtId="0" fontId="6" fillId="38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64" fontId="29" fillId="0" borderId="0" xfId="0" applyNumberFormat="1" applyFont="1" applyAlignment="1">
      <alignment horizontal="center" vertical="center"/>
    </xf>
    <xf numFmtId="0" fontId="6" fillId="38" borderId="1" xfId="0" applyFont="1" applyFill="1" applyBorder="1" applyAlignment="1">
      <alignment horizontal="center" vertical="center" wrapText="1"/>
    </xf>
    <xf numFmtId="0" fontId="8" fillId="3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5" fillId="0" borderId="1" xfId="1" applyNumberFormat="1" applyFont="1" applyFill="1" applyBorder="1" applyAlignment="1">
      <alignment horizontal="center" vertical="center"/>
    </xf>
    <xf numFmtId="0" fontId="5" fillId="39" borderId="1" xfId="1" applyFont="1" applyFill="1" applyBorder="1" applyAlignment="1">
      <alignment horizontal="center" vertical="center"/>
    </xf>
    <xf numFmtId="1" fontId="5" fillId="39" borderId="1" xfId="1" applyNumberFormat="1" applyFont="1" applyFill="1" applyBorder="1" applyAlignment="1">
      <alignment horizontal="center" vertical="center"/>
    </xf>
    <xf numFmtId="0" fontId="5" fillId="39" borderId="2" xfId="1" applyFont="1" applyFill="1" applyBorder="1" applyAlignment="1">
      <alignment horizontal="center" vertical="center"/>
    </xf>
    <xf numFmtId="9" fontId="6" fillId="3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6" fillId="0" borderId="1" xfId="0" applyFont="1" applyBorder="1" applyAlignment="1">
      <alignment horizont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5" fillId="0" borderId="1" xfId="0" applyFont="1" applyFill="1" applyBorder="1" applyAlignment="1">
      <alignment horizontal="center" vertical="center"/>
    </xf>
    <xf numFmtId="9" fontId="6" fillId="0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0" borderId="0" xfId="0" applyFont="1" applyBorder="1" applyAlignment="1">
      <alignment vertical="center"/>
    </xf>
    <xf numFmtId="1" fontId="5" fillId="0" borderId="0" xfId="0" applyNumberFormat="1" applyFont="1" applyBorder="1" applyAlignment="1">
      <alignment vertical="center"/>
    </xf>
    <xf numFmtId="0" fontId="5" fillId="0" borderId="0" xfId="0" quotePrefix="1" applyFont="1" applyBorder="1" applyAlignment="1">
      <alignment vertical="center"/>
    </xf>
    <xf numFmtId="1" fontId="5" fillId="36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 applyAlignment="1">
      <alignment horizontal="center" vertical="center"/>
    </xf>
    <xf numFmtId="0" fontId="33" fillId="0" borderId="1" xfId="0" applyNumberFormat="1" applyFont="1" applyFill="1" applyBorder="1" applyAlignment="1">
      <alignment horizontal="center" vertical="center"/>
    </xf>
    <xf numFmtId="164" fontId="6" fillId="40" borderId="1" xfId="0" applyNumberFormat="1" applyFont="1" applyFill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left" vertical="center" wrapText="1"/>
    </xf>
    <xf numFmtId="0" fontId="5" fillId="0" borderId="17" xfId="0" applyFont="1" applyBorder="1" applyAlignment="1" applyProtection="1">
      <alignment horizontal="left" vertical="center" wrapText="1"/>
    </xf>
    <xf numFmtId="0" fontId="5" fillId="0" borderId="16" xfId="0" applyFont="1" applyBorder="1" applyAlignment="1" applyProtection="1">
      <alignment horizontal="left" vertical="center" wrapText="1"/>
    </xf>
    <xf numFmtId="0" fontId="5" fillId="0" borderId="24" xfId="0" applyFont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 vertical="center" wrapText="1"/>
    </xf>
    <xf numFmtId="0" fontId="5" fillId="0" borderId="15" xfId="0" applyFont="1" applyBorder="1" applyAlignment="1" applyProtection="1">
      <alignment horizontal="left" vertical="center" wrapText="1"/>
    </xf>
    <xf numFmtId="0" fontId="5" fillId="0" borderId="3" xfId="0" applyFont="1" applyBorder="1" applyAlignment="1" applyProtection="1">
      <alignment horizontal="left" vertical="center" wrapText="1"/>
    </xf>
    <xf numFmtId="0" fontId="5" fillId="0" borderId="22" xfId="0" applyFont="1" applyBorder="1" applyAlignment="1" applyProtection="1">
      <alignment horizontal="left" vertical="center" wrapText="1"/>
    </xf>
    <xf numFmtId="0" fontId="5" fillId="0" borderId="5" xfId="0" applyFont="1" applyBorder="1" applyAlignment="1" applyProtection="1">
      <alignment horizontal="left" vertical="center" wrapText="1"/>
    </xf>
    <xf numFmtId="0" fontId="28" fillId="0" borderId="0" xfId="0" applyFont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3" fillId="0" borderId="0" xfId="0" applyFont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</xf>
    <xf numFmtId="0" fontId="9" fillId="0" borderId="22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horizontal="left" vertical="center"/>
    </xf>
    <xf numFmtId="0" fontId="9" fillId="0" borderId="23" xfId="0" applyFont="1" applyFill="1" applyBorder="1" applyAlignment="1" applyProtection="1">
      <alignment horizontal="left" vertical="center"/>
    </xf>
    <xf numFmtId="0" fontId="9" fillId="0" borderId="17" xfId="0" applyFont="1" applyFill="1" applyBorder="1" applyAlignment="1" applyProtection="1">
      <alignment horizontal="left" vertical="center"/>
    </xf>
    <xf numFmtId="0" fontId="32" fillId="0" borderId="0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horizontal="left" vertic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9" fillId="36" borderId="2" xfId="0" applyFont="1" applyFill="1" applyBorder="1" applyAlignment="1">
      <alignment horizontal="center" vertical="center"/>
    </xf>
    <xf numFmtId="0" fontId="9" fillId="36" borderId="4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/>
    </xf>
    <xf numFmtId="0" fontId="25" fillId="0" borderId="0" xfId="0" applyFont="1" applyAlignment="1">
      <alignment horizontal="left" vertical="center"/>
    </xf>
  </cellXfs>
  <cellStyles count="91">
    <cellStyle name="20% - Accent1" xfId="19" builtinId="30" customBuiltin="1"/>
    <cellStyle name="20% - Accent1 2" xfId="46" xr:uid="{00000000-0005-0000-0000-000001000000}"/>
    <cellStyle name="20% - Accent1 2 2" xfId="78" xr:uid="{00000000-0005-0000-0000-000002000000}"/>
    <cellStyle name="20% - Accent1 3" xfId="60" xr:uid="{00000000-0005-0000-0000-000003000000}"/>
    <cellStyle name="20% - Accent2" xfId="23" builtinId="34" customBuiltin="1"/>
    <cellStyle name="20% - Accent2 2" xfId="48" xr:uid="{00000000-0005-0000-0000-000005000000}"/>
    <cellStyle name="20% - Accent2 2 2" xfId="80" xr:uid="{00000000-0005-0000-0000-000006000000}"/>
    <cellStyle name="20% - Accent2 3" xfId="62" xr:uid="{00000000-0005-0000-0000-000007000000}"/>
    <cellStyle name="20% - Accent3" xfId="27" builtinId="38" customBuiltin="1"/>
    <cellStyle name="20% - Accent3 2" xfId="50" xr:uid="{00000000-0005-0000-0000-000009000000}"/>
    <cellStyle name="20% - Accent3 2 2" xfId="82" xr:uid="{00000000-0005-0000-0000-00000A000000}"/>
    <cellStyle name="20% - Accent3 3" xfId="64" xr:uid="{00000000-0005-0000-0000-00000B000000}"/>
    <cellStyle name="20% - Accent4" xfId="31" builtinId="42" customBuiltin="1"/>
    <cellStyle name="20% - Accent4 2" xfId="52" xr:uid="{00000000-0005-0000-0000-00000D000000}"/>
    <cellStyle name="20% - Accent4 2 2" xfId="84" xr:uid="{00000000-0005-0000-0000-00000E000000}"/>
    <cellStyle name="20% - Accent4 3" xfId="66" xr:uid="{00000000-0005-0000-0000-00000F000000}"/>
    <cellStyle name="20% - Accent5" xfId="35" builtinId="46" customBuiltin="1"/>
    <cellStyle name="20% - Accent5 2" xfId="54" xr:uid="{00000000-0005-0000-0000-000011000000}"/>
    <cellStyle name="20% - Accent5 2 2" xfId="86" xr:uid="{00000000-0005-0000-0000-000012000000}"/>
    <cellStyle name="20% - Accent5 3" xfId="68" xr:uid="{00000000-0005-0000-0000-000013000000}"/>
    <cellStyle name="20% - Accent6" xfId="39" builtinId="50" customBuiltin="1"/>
    <cellStyle name="20% - Accent6 2" xfId="56" xr:uid="{00000000-0005-0000-0000-000015000000}"/>
    <cellStyle name="20% - Accent6 2 2" xfId="88" xr:uid="{00000000-0005-0000-0000-000016000000}"/>
    <cellStyle name="20% - Accent6 3" xfId="70" xr:uid="{00000000-0005-0000-0000-000017000000}"/>
    <cellStyle name="40% - Accent1" xfId="20" builtinId="31" customBuiltin="1"/>
    <cellStyle name="40% - Accent1 2" xfId="47" xr:uid="{00000000-0005-0000-0000-000019000000}"/>
    <cellStyle name="40% - Accent1 2 2" xfId="79" xr:uid="{00000000-0005-0000-0000-00001A000000}"/>
    <cellStyle name="40% - Accent1 3" xfId="61" xr:uid="{00000000-0005-0000-0000-00001B000000}"/>
    <cellStyle name="40% - Accent2" xfId="24" builtinId="35" customBuiltin="1"/>
    <cellStyle name="40% - Accent2 2" xfId="49" xr:uid="{00000000-0005-0000-0000-00001D000000}"/>
    <cellStyle name="40% - Accent2 2 2" xfId="81" xr:uid="{00000000-0005-0000-0000-00001E000000}"/>
    <cellStyle name="40% - Accent2 3" xfId="63" xr:uid="{00000000-0005-0000-0000-00001F000000}"/>
    <cellStyle name="40% - Accent3" xfId="28" builtinId="39" customBuiltin="1"/>
    <cellStyle name="40% - Accent3 2" xfId="51" xr:uid="{00000000-0005-0000-0000-000021000000}"/>
    <cellStyle name="40% - Accent3 2 2" xfId="83" xr:uid="{00000000-0005-0000-0000-000022000000}"/>
    <cellStyle name="40% - Accent3 3" xfId="65" xr:uid="{00000000-0005-0000-0000-000023000000}"/>
    <cellStyle name="40% - Accent4" xfId="32" builtinId="43" customBuiltin="1"/>
    <cellStyle name="40% - Accent4 2" xfId="53" xr:uid="{00000000-0005-0000-0000-000025000000}"/>
    <cellStyle name="40% - Accent4 2 2" xfId="85" xr:uid="{00000000-0005-0000-0000-000026000000}"/>
    <cellStyle name="40% - Accent4 3" xfId="67" xr:uid="{00000000-0005-0000-0000-000027000000}"/>
    <cellStyle name="40% - Accent5" xfId="36" builtinId="47" customBuiltin="1"/>
    <cellStyle name="40% - Accent5 2" xfId="55" xr:uid="{00000000-0005-0000-0000-000029000000}"/>
    <cellStyle name="40% - Accent5 2 2" xfId="87" xr:uid="{00000000-0005-0000-0000-00002A000000}"/>
    <cellStyle name="40% - Accent5 3" xfId="69" xr:uid="{00000000-0005-0000-0000-00002B000000}"/>
    <cellStyle name="40% - Accent6" xfId="40" builtinId="51" customBuiltin="1"/>
    <cellStyle name="40% - Accent6 2" xfId="57" xr:uid="{00000000-0005-0000-0000-00002D000000}"/>
    <cellStyle name="40% - Accent6 2 2" xfId="89" xr:uid="{00000000-0005-0000-0000-00002E000000}"/>
    <cellStyle name="40% - Accent6 3" xfId="71" xr:uid="{00000000-0005-0000-0000-00002F000000}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49000000}"/>
    <cellStyle name="Normal 2 2" xfId="73" xr:uid="{00000000-0005-0000-0000-00004A000000}"/>
    <cellStyle name="Normal 3" xfId="42" xr:uid="{00000000-0005-0000-0000-00004B000000}"/>
    <cellStyle name="Normal 3 2" xfId="74" xr:uid="{00000000-0005-0000-0000-00004C000000}"/>
    <cellStyle name="Normal 4" xfId="44" xr:uid="{00000000-0005-0000-0000-00004D000000}"/>
    <cellStyle name="Normal 4 2" xfId="76" xr:uid="{00000000-0005-0000-0000-00004E000000}"/>
    <cellStyle name="Normal 5" xfId="58" xr:uid="{00000000-0005-0000-0000-00004F000000}"/>
    <cellStyle name="Normal 5 2" xfId="90" xr:uid="{00000000-0005-0000-0000-000050000000}"/>
    <cellStyle name="Normal 6" xfId="72" xr:uid="{00000000-0005-0000-0000-000051000000}"/>
    <cellStyle name="Normal 7" xfId="59" xr:uid="{00000000-0005-0000-0000-000052000000}"/>
    <cellStyle name="Note 2" xfId="43" xr:uid="{00000000-0005-0000-0000-000053000000}"/>
    <cellStyle name="Note 2 2" xfId="75" xr:uid="{00000000-0005-0000-0000-000054000000}"/>
    <cellStyle name="Note 3" xfId="45" xr:uid="{00000000-0005-0000-0000-000055000000}"/>
    <cellStyle name="Note 3 2" xfId="77" xr:uid="{00000000-0005-0000-0000-000056000000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BCE292"/>
      <color rgb="FFFFFF99"/>
      <color rgb="FFEA0000"/>
      <color rgb="FFFF1515"/>
      <color rgb="FFFF0000"/>
      <color rgb="FFFF5050"/>
      <color rgb="FFF79646"/>
      <color rgb="FF00FF00"/>
      <color rgb="FF66FF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Stress!$W$15:$W$17</c:f>
              <c:numCache>
                <c:formatCode>0</c:formatCode>
                <c:ptCount val="3"/>
                <c:pt idx="0" formatCode="General">
                  <c:v>10</c:v>
                </c:pt>
                <c:pt idx="1">
                  <c:v>15</c:v>
                </c:pt>
                <c:pt idx="2" formatCode="General">
                  <c:v>20</c:v>
                </c:pt>
              </c:numCache>
            </c:numRef>
          </c:xVal>
          <c:yVal>
            <c:numRef>
              <c:f>Stress!$Z$15:$Z$17</c:f>
              <c:numCache>
                <c:formatCode>General</c:formatCode>
                <c:ptCount val="3"/>
                <c:pt idx="0">
                  <c:v>4.0943445622221004</c:v>
                </c:pt>
                <c:pt idx="1">
                  <c:v>4.3820266346738812</c:v>
                </c:pt>
                <c:pt idx="2">
                  <c:v>5.2983173665480363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F3-49B7-BFF7-0FED36C5C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5054672"/>
        <c:axId val="1295056336"/>
      </c:scatterChart>
      <c:valAx>
        <c:axId val="129505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056336"/>
        <c:crosses val="autoZero"/>
        <c:crossBetween val="midCat"/>
      </c:valAx>
      <c:valAx>
        <c:axId val="129505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505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Damage vs.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59383718957091"/>
          <c:y val="0.10675670182461665"/>
          <c:w val="0.79469180098322001"/>
          <c:h val="0.7475934751665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0E5-4950-802C-6FA8B2E34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08544"/>
        <c:axId val="307609104"/>
      </c:scatterChart>
      <c:valAx>
        <c:axId val="307608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Time (Month)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9104"/>
        <c:crosses val="autoZero"/>
        <c:crossBetween val="midCat"/>
      </c:valAx>
      <c:valAx>
        <c:axId val="307609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Cumulative Damage (-)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8544"/>
        <c:crosses val="autoZero"/>
        <c:crossBetween val="midCat"/>
      </c:valAx>
      <c:spPr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Cumulative Damage vs. Number of Punchouts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37928275708993"/>
          <c:y val="0.11090018206824456"/>
          <c:w val="0.78169113327780571"/>
          <c:h val="0.7327852689131394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E4C-4988-9C15-8C5956A9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11344"/>
        <c:axId val="314102704"/>
      </c:scatterChart>
      <c:valAx>
        <c:axId val="307611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Cumulative Damage</a:t>
                </a:r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14102704"/>
        <c:crosses val="autoZero"/>
        <c:crossBetween val="midCat"/>
      </c:valAx>
      <c:valAx>
        <c:axId val="31410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/>
                  <a:t>Number of Punchouts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11344"/>
        <c:crosses val="autoZero"/>
        <c:crossBetween val="midCat"/>
      </c:valAx>
      <c:spPr>
        <a:ln w="28575">
          <a:solidFill>
            <a:sysClr val="windowText" lastClr="000000"/>
          </a:solidFill>
        </a:ln>
      </c:spPr>
    </c:plotArea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14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15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9525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 CRCP Overlay Thickness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21167</xdr:colOff>
      <xdr:row>24</xdr:row>
      <xdr:rowOff>83608</xdr:rowOff>
    </xdr:from>
    <xdr:to>
      <xdr:col>27</xdr:col>
      <xdr:colOff>518583</xdr:colOff>
      <xdr:row>40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161925</xdr:rowOff>
        </xdr:from>
        <xdr:to>
          <xdr:col>6</xdr:col>
          <xdr:colOff>0</xdr:colOff>
          <xdr:row>24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Input Worksheet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B1:G41"/>
  <sheetViews>
    <sheetView tabSelected="1" zoomScale="95" zoomScaleNormal="95" workbookViewId="0">
      <selection activeCell="E37" sqref="E37"/>
    </sheetView>
  </sheetViews>
  <sheetFormatPr defaultColWidth="9.140625" defaultRowHeight="12.75"/>
  <cols>
    <col min="1" max="1" width="4.7109375" style="20" customWidth="1"/>
    <col min="2" max="2" width="50.7109375" style="20" customWidth="1"/>
    <col min="3" max="3" width="12.7109375" style="20" customWidth="1"/>
    <col min="4" max="4" width="8.7109375" style="20" customWidth="1"/>
    <col min="5" max="5" width="32.7109375" style="20" customWidth="1"/>
    <col min="6" max="6" width="15.7109375" style="20" customWidth="1"/>
    <col min="7" max="16384" width="9.140625" style="20"/>
  </cols>
  <sheetData>
    <row r="1" spans="2:7" ht="18.75" customHeight="1">
      <c r="B1" s="100" t="s">
        <v>0</v>
      </c>
      <c r="C1" s="100"/>
      <c r="D1" s="100"/>
      <c r="E1" s="100"/>
      <c r="F1" s="100"/>
      <c r="G1" s="21"/>
    </row>
    <row r="2" spans="2:7" ht="12.75" customHeight="1">
      <c r="B2" s="101" t="s">
        <v>358</v>
      </c>
      <c r="C2" s="102"/>
      <c r="D2" s="102"/>
      <c r="E2" s="102"/>
      <c r="F2" s="102"/>
      <c r="G2" s="21"/>
    </row>
    <row r="3" spans="2:7" ht="12.75" customHeight="1">
      <c r="B3" s="108" t="s">
        <v>359</v>
      </c>
      <c r="C3" s="108"/>
      <c r="D3" s="108"/>
      <c r="E3" s="108"/>
      <c r="F3" s="108"/>
      <c r="G3" s="21"/>
    </row>
    <row r="4" spans="2:7" ht="12.75" customHeight="1">
      <c r="B4" s="105"/>
      <c r="C4" s="105"/>
      <c r="D4" s="23"/>
      <c r="E4" s="105"/>
      <c r="F4" s="105"/>
    </row>
    <row r="5" spans="2:7" ht="12.75" customHeight="1">
      <c r="B5" s="103" t="s">
        <v>90</v>
      </c>
      <c r="C5" s="103"/>
      <c r="D5" s="23"/>
      <c r="E5" s="103" t="s">
        <v>94</v>
      </c>
      <c r="F5" s="103"/>
    </row>
    <row r="6" spans="2:7" ht="12.75" customHeight="1">
      <c r="B6" s="105"/>
      <c r="C6" s="105"/>
      <c r="D6" s="23"/>
      <c r="E6" s="104"/>
      <c r="F6" s="104"/>
    </row>
    <row r="7" spans="2:7" ht="12.75" customHeight="1">
      <c r="B7" s="28" t="s">
        <v>375</v>
      </c>
      <c r="C7" s="37">
        <f>VLOOKUP(C8,Temperature!A2:B122,2,FALSE)</f>
        <v>2</v>
      </c>
      <c r="D7" s="23"/>
      <c r="E7" s="28" t="s">
        <v>374</v>
      </c>
      <c r="F7" s="29">
        <v>30</v>
      </c>
    </row>
    <row r="8" spans="2:7" ht="12.75" customHeight="1">
      <c r="B8" s="28" t="s">
        <v>376</v>
      </c>
      <c r="C8" s="29" t="s">
        <v>433</v>
      </c>
      <c r="D8" s="23"/>
      <c r="E8" s="28" t="s">
        <v>360</v>
      </c>
      <c r="F8" s="29">
        <v>5</v>
      </c>
    </row>
    <row r="9" spans="2:7" ht="12.75" customHeight="1">
      <c r="B9" s="28" t="s">
        <v>85</v>
      </c>
      <c r="C9" s="29"/>
      <c r="D9" s="23"/>
      <c r="E9" s="70"/>
      <c r="F9" s="71"/>
    </row>
    <row r="10" spans="2:7" ht="12.75" customHeight="1">
      <c r="B10" s="28" t="s">
        <v>86</v>
      </c>
      <c r="C10" s="29"/>
      <c r="D10" s="23"/>
      <c r="E10" s="105"/>
      <c r="F10" s="105"/>
    </row>
    <row r="11" spans="2:7" ht="12.75" customHeight="1">
      <c r="B11" s="28" t="s">
        <v>87</v>
      </c>
      <c r="C11" s="29"/>
      <c r="D11" s="23"/>
      <c r="E11" s="103" t="s">
        <v>355</v>
      </c>
      <c r="F11" s="103"/>
    </row>
    <row r="12" spans="2:7" ht="12.75" customHeight="1">
      <c r="B12" s="28" t="s">
        <v>88</v>
      </c>
      <c r="C12" s="29"/>
      <c r="D12" s="23"/>
      <c r="E12" s="104"/>
      <c r="F12" s="104"/>
    </row>
    <row r="13" spans="2:7" ht="12.75" customHeight="1">
      <c r="B13" s="28" t="s">
        <v>89</v>
      </c>
      <c r="C13" s="29"/>
      <c r="D13" s="23"/>
      <c r="E13" s="28" t="s">
        <v>95</v>
      </c>
      <c r="F13" s="37" t="s">
        <v>58</v>
      </c>
    </row>
    <row r="14" spans="2:7" ht="12.75" customHeight="1">
      <c r="B14" s="105"/>
      <c r="C14" s="105"/>
      <c r="D14" s="23"/>
      <c r="E14" s="28" t="s">
        <v>96</v>
      </c>
      <c r="F14" s="29" t="s">
        <v>71</v>
      </c>
    </row>
    <row r="15" spans="2:7" ht="12.75" customHeight="1">
      <c r="B15" s="105"/>
      <c r="C15" s="105"/>
      <c r="D15" s="23"/>
      <c r="E15" s="28" t="s">
        <v>97</v>
      </c>
      <c r="F15" s="29" t="s">
        <v>522</v>
      </c>
    </row>
    <row r="16" spans="2:7" ht="12.75" customHeight="1">
      <c r="B16" s="103" t="s">
        <v>91</v>
      </c>
      <c r="C16" s="103"/>
      <c r="D16" s="23"/>
      <c r="E16" s="28" t="s">
        <v>361</v>
      </c>
      <c r="F16" s="29">
        <v>15</v>
      </c>
    </row>
    <row r="17" spans="2:6" ht="12.75" customHeight="1">
      <c r="B17" s="105"/>
      <c r="C17" s="105"/>
      <c r="D17" s="23"/>
      <c r="E17" s="28" t="s">
        <v>362</v>
      </c>
      <c r="F17" s="29">
        <v>20000</v>
      </c>
    </row>
    <row r="18" spans="2:6" ht="12.75" customHeight="1">
      <c r="B18" s="31" t="s">
        <v>92</v>
      </c>
      <c r="C18" s="38">
        <v>20</v>
      </c>
      <c r="D18" s="23"/>
      <c r="E18" s="106"/>
      <c r="F18" s="106"/>
    </row>
    <row r="19" spans="2:6" ht="12.75" customHeight="1">
      <c r="B19" s="31" t="s">
        <v>364</v>
      </c>
      <c r="C19" s="38">
        <v>6</v>
      </c>
      <c r="D19" s="23"/>
      <c r="E19" s="28" t="s">
        <v>363</v>
      </c>
      <c r="F19" s="87">
        <v>500</v>
      </c>
    </row>
    <row r="20" spans="2:6" ht="12.75" customHeight="1">
      <c r="B20" s="109"/>
      <c r="C20" s="109"/>
      <c r="D20" s="23"/>
      <c r="E20" s="107"/>
      <c r="F20" s="107"/>
    </row>
    <row r="21" spans="2:6" ht="12.75" customHeight="1">
      <c r="B21" s="105"/>
      <c r="C21" s="105"/>
      <c r="D21" s="23"/>
      <c r="E21" s="105"/>
      <c r="F21" s="105"/>
    </row>
    <row r="22" spans="2:6" ht="12.75" customHeight="1">
      <c r="B22" s="103" t="s">
        <v>93</v>
      </c>
      <c r="C22" s="103"/>
      <c r="D22" s="23"/>
      <c r="E22" s="105"/>
      <c r="F22" s="105"/>
    </row>
    <row r="23" spans="2:6" ht="12.75" customHeight="1">
      <c r="B23" s="105"/>
      <c r="C23" s="105"/>
      <c r="D23" s="23"/>
      <c r="E23" s="105"/>
      <c r="F23" s="105"/>
    </row>
    <row r="24" spans="2:6" ht="12.75" customHeight="1">
      <c r="B24" s="28" t="s">
        <v>99</v>
      </c>
      <c r="C24" s="30">
        <v>2</v>
      </c>
      <c r="D24" s="23"/>
      <c r="E24" s="105"/>
      <c r="F24" s="105"/>
    </row>
    <row r="25" spans="2:6" ht="12.75" customHeight="1">
      <c r="B25" s="28" t="s">
        <v>353</v>
      </c>
      <c r="C25" s="30">
        <v>60</v>
      </c>
      <c r="D25" s="23"/>
      <c r="E25" s="105"/>
      <c r="F25" s="105"/>
    </row>
    <row r="26" spans="2:6" ht="12.75" customHeight="1">
      <c r="B26" s="109"/>
      <c r="C26" s="109"/>
      <c r="D26" s="23"/>
      <c r="E26" s="105"/>
      <c r="F26" s="105"/>
    </row>
    <row r="27" spans="2:6" ht="12.75" customHeight="1">
      <c r="B27" s="105"/>
      <c r="C27" s="105"/>
      <c r="D27" s="23"/>
      <c r="E27" s="105"/>
      <c r="F27" s="105"/>
    </row>
    <row r="28" spans="2:6" ht="12.75" customHeight="1">
      <c r="B28" s="91" t="s">
        <v>523</v>
      </c>
      <c r="C28" s="92"/>
      <c r="D28" s="92"/>
      <c r="E28" s="92"/>
      <c r="F28" s="93"/>
    </row>
    <row r="29" spans="2:6" ht="12.75" customHeight="1">
      <c r="B29" s="94"/>
      <c r="C29" s="95"/>
      <c r="D29" s="95"/>
      <c r="E29" s="95"/>
      <c r="F29" s="96"/>
    </row>
    <row r="30" spans="2:6" ht="12.75" customHeight="1">
      <c r="B30" s="94"/>
      <c r="C30" s="95"/>
      <c r="D30" s="95"/>
      <c r="E30" s="95"/>
      <c r="F30" s="96"/>
    </row>
    <row r="31" spans="2:6">
      <c r="B31" s="97"/>
      <c r="C31" s="98"/>
      <c r="D31" s="98"/>
      <c r="E31" s="98"/>
      <c r="F31" s="99"/>
    </row>
    <row r="32" spans="2:6">
      <c r="B32" s="22"/>
      <c r="C32" s="23"/>
      <c r="D32" s="23"/>
      <c r="E32" s="22"/>
      <c r="F32" s="23"/>
    </row>
    <row r="33" spans="2:6">
      <c r="B33" s="22"/>
      <c r="C33" s="23"/>
      <c r="D33" s="23"/>
      <c r="E33" s="22"/>
      <c r="F33" s="23"/>
    </row>
    <row r="34" spans="2:6">
      <c r="B34" s="22"/>
      <c r="C34" s="23"/>
      <c r="D34" s="23"/>
      <c r="E34" s="22"/>
      <c r="F34" s="23"/>
    </row>
    <row r="35" spans="2:6">
      <c r="B35" s="22"/>
      <c r="C35" s="23"/>
      <c r="D35" s="23"/>
      <c r="E35" s="22"/>
      <c r="F35" s="23"/>
    </row>
    <row r="36" spans="2:6">
      <c r="B36" s="22"/>
      <c r="C36" s="23"/>
      <c r="D36" s="23"/>
      <c r="E36" s="22"/>
      <c r="F36" s="23"/>
    </row>
    <row r="37" spans="2:6">
      <c r="B37" s="22"/>
      <c r="C37" s="23"/>
      <c r="D37" s="23"/>
      <c r="E37" s="22"/>
      <c r="F37" s="23"/>
    </row>
    <row r="38" spans="2:6">
      <c r="B38" s="22"/>
      <c r="C38" s="23"/>
      <c r="D38" s="23"/>
      <c r="E38" s="22"/>
      <c r="F38" s="23"/>
    </row>
    <row r="39" spans="2:6">
      <c r="B39" s="22"/>
      <c r="C39" s="23"/>
      <c r="D39" s="23"/>
      <c r="E39" s="22"/>
      <c r="F39" s="23"/>
    </row>
    <row r="40" spans="2:6">
      <c r="B40" s="22"/>
      <c r="C40" s="23"/>
      <c r="D40" s="23"/>
      <c r="E40" s="22"/>
      <c r="F40" s="23"/>
    </row>
    <row r="41" spans="2:6">
      <c r="B41" s="22"/>
      <c r="C41" s="23"/>
      <c r="D41" s="23"/>
      <c r="E41" s="22"/>
      <c r="F41" s="23"/>
    </row>
  </sheetData>
  <mergeCells count="32">
    <mergeCell ref="B3:F3"/>
    <mergeCell ref="B26:C26"/>
    <mergeCell ref="E26:F26"/>
    <mergeCell ref="E24:F24"/>
    <mergeCell ref="E25:F25"/>
    <mergeCell ref="B6:C6"/>
    <mergeCell ref="B23:C23"/>
    <mergeCell ref="E22:F22"/>
    <mergeCell ref="E4:F4"/>
    <mergeCell ref="E23:F23"/>
    <mergeCell ref="E21:F21"/>
    <mergeCell ref="B14:C14"/>
    <mergeCell ref="B15:C15"/>
    <mergeCell ref="B17:C17"/>
    <mergeCell ref="B20:C20"/>
    <mergeCell ref="B21:C21"/>
    <mergeCell ref="B28:F31"/>
    <mergeCell ref="B1:F1"/>
    <mergeCell ref="B2:F2"/>
    <mergeCell ref="B22:C22"/>
    <mergeCell ref="B16:C16"/>
    <mergeCell ref="B5:C5"/>
    <mergeCell ref="E5:F5"/>
    <mergeCell ref="E11:F11"/>
    <mergeCell ref="E6:F6"/>
    <mergeCell ref="E12:F12"/>
    <mergeCell ref="E10:F10"/>
    <mergeCell ref="E18:F18"/>
    <mergeCell ref="E20:F20"/>
    <mergeCell ref="E27:F27"/>
    <mergeCell ref="B4:C4"/>
    <mergeCell ref="B27:C27"/>
  </mergeCells>
  <phoneticPr fontId="27" type="noConversion"/>
  <dataValidations count="6">
    <dataValidation type="decimal" allowBlank="1" showErrorMessage="1" errorTitle="Thickness of Existing Conc Layer" error="Out of Range - Please Enter a Value between 25 and 35." sqref="F7" xr:uid="{00000000-0002-0000-0000-000000000000}">
      <formula1>25</formula1>
      <formula2>35</formula2>
    </dataValidation>
    <dataValidation type="list" allowBlank="1" showErrorMessage="1" errorTitle="Soil Classification of Subgrade" error="Please Select from Drop-Down List." sqref="F14" xr:uid="{00000000-0002-0000-0000-000001000000}">
      <formula1>INDIRECT(F13)</formula1>
    </dataValidation>
    <dataValidation type="decimal" allowBlank="1" showErrorMessage="1" errorTitle="Base Thickness" error="Out of Range – Please Enter a Value between 0 and 15." sqref="F16" xr:uid="{00000000-0002-0000-0000-000002000000}">
      <formula1>0</formula1>
      <formula2>20</formula2>
    </dataValidation>
    <dataValidation type="decimal" allowBlank="1" showInputMessage="1" showErrorMessage="1" errorTitle="Modulus of Base Layer" error="Out of Range – Please Enter a Value between 350 and 3500." sqref="F17" xr:uid="{C454C0DD-000B-4137-BDF7-E18D0228A134}">
      <formula1>350</formula1>
      <formula2>50000</formula2>
    </dataValidation>
    <dataValidation type="decimal" allowBlank="1" showErrorMessage="1" errorTitle="Thickness of Existing Concrete" error="Out of Range - Please Enter a Value between 15 and 20." sqref="F9" xr:uid="{4A70BA8D-72D4-45A6-973B-9D9E21009BE2}">
      <formula1>15</formula1>
      <formula2>20</formula2>
    </dataValidation>
    <dataValidation type="decimal" allowBlank="1" showInputMessage="1" showErrorMessage="1" errorTitle="28-day Modulus of Rupture" error="Out of Range – Please Enter a Value between 4 and 5." sqref="F8" xr:uid="{3300F2D8-D8E2-4F34-802E-D3A59ECE82BD}">
      <formula1>4</formula1>
      <formula2>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eet6.main">
                <anchor moveWithCells="1" sizeWithCells="1">
                  <from>
                    <xdr:col>4</xdr:col>
                    <xdr:colOff>0</xdr:colOff>
                    <xdr:row>21</xdr:row>
                    <xdr:rowOff>9525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County" error="Please Select from Drop-Down List" xr:uid="{00000000-0002-0000-0000-000005000000}">
          <x14:formula1>
            <xm:f>Temperature!$A$2:$A$122</xm:f>
          </x14:formula1>
          <xm:sqref>C8</xm:sqref>
        </x14:dataValidation>
        <x14:dataValidation type="list" allowBlank="1" showErrorMessage="1" errorTitle="Base Type" error="Please Select from Drop-Down List." xr:uid="{00000000-0002-0000-0000-000006000000}">
          <x14:formula1>
            <xm:f>'K-Table'!$C$1193:$C$1196</xm:f>
          </x14:formula1>
          <xm:sqref>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9" tint="0.39997558519241921"/>
  </sheetPr>
  <dimension ref="A1:F605"/>
  <sheetViews>
    <sheetView zoomScale="95" zoomScaleNormal="95" workbookViewId="0">
      <pane ySplit="1" topLeftCell="A5" activePane="bottomLeft" state="frozen"/>
      <selection pane="bottomLeft" activeCell="A96" sqref="A96"/>
    </sheetView>
  </sheetViews>
  <sheetFormatPr defaultColWidth="9.140625" defaultRowHeight="12.75"/>
  <cols>
    <col min="1" max="4" width="25.7109375" style="7" customWidth="1"/>
    <col min="5" max="5" width="26.7109375" style="7" customWidth="1"/>
    <col min="6" max="6" width="9.140625" style="7" customWidth="1"/>
    <col min="7" max="16384" width="9.140625" style="7"/>
  </cols>
  <sheetData>
    <row r="1" spans="1:6" ht="38.25" customHeight="1">
      <c r="A1" s="3" t="s">
        <v>376</v>
      </c>
      <c r="B1" s="3" t="s">
        <v>375</v>
      </c>
      <c r="C1" s="3" t="s">
        <v>502</v>
      </c>
      <c r="D1" s="3" t="s">
        <v>503</v>
      </c>
      <c r="E1" s="4" t="s">
        <v>504</v>
      </c>
    </row>
    <row r="2" spans="1:6">
      <c r="A2" s="54" t="s">
        <v>381</v>
      </c>
      <c r="B2" s="54">
        <v>1</v>
      </c>
      <c r="C2" s="54">
        <v>35.5</v>
      </c>
      <c r="D2" s="54">
        <v>-6.2</v>
      </c>
      <c r="E2" s="55"/>
      <c r="F2" s="27"/>
    </row>
    <row r="3" spans="1:6">
      <c r="A3" s="54" t="s">
        <v>382</v>
      </c>
      <c r="B3" s="54">
        <v>1</v>
      </c>
      <c r="C3" s="54">
        <v>35.299999999999997</v>
      </c>
      <c r="D3" s="54">
        <v>-6.9</v>
      </c>
      <c r="E3" s="55"/>
    </row>
    <row r="4" spans="1:6">
      <c r="A4" s="54" t="s">
        <v>383</v>
      </c>
      <c r="B4" s="54">
        <v>1</v>
      </c>
      <c r="C4" s="54">
        <v>35.799999999999997</v>
      </c>
      <c r="D4" s="54">
        <v>-6.4</v>
      </c>
      <c r="E4" s="55"/>
    </row>
    <row r="5" spans="1:6">
      <c r="A5" s="54" t="s">
        <v>384</v>
      </c>
      <c r="B5" s="54">
        <v>1</v>
      </c>
      <c r="C5" s="54">
        <v>37</v>
      </c>
      <c r="D5" s="54">
        <v>-5.8</v>
      </c>
      <c r="E5" s="55"/>
    </row>
    <row r="6" spans="1:6">
      <c r="A6" s="54" t="s">
        <v>385</v>
      </c>
      <c r="B6" s="54">
        <v>1</v>
      </c>
      <c r="C6" s="54">
        <v>34.9</v>
      </c>
      <c r="D6" s="54">
        <v>-8.6999999999999993</v>
      </c>
      <c r="E6" s="55"/>
    </row>
    <row r="7" spans="1:6">
      <c r="A7" s="54" t="s">
        <v>386</v>
      </c>
      <c r="B7" s="54">
        <v>1</v>
      </c>
      <c r="C7" s="54">
        <v>35.5</v>
      </c>
      <c r="D7" s="54">
        <v>-9.5</v>
      </c>
      <c r="E7" s="55"/>
    </row>
    <row r="8" spans="1:6">
      <c r="A8" s="54" t="s">
        <v>387</v>
      </c>
      <c r="B8" s="54">
        <v>1</v>
      </c>
      <c r="C8" s="54">
        <v>36.9</v>
      </c>
      <c r="D8" s="54">
        <v>-9.1</v>
      </c>
      <c r="E8" s="55"/>
    </row>
    <row r="9" spans="1:6">
      <c r="A9" s="54" t="s">
        <v>388</v>
      </c>
      <c r="B9" s="54">
        <v>1</v>
      </c>
      <c r="C9" s="54">
        <v>35.9</v>
      </c>
      <c r="D9" s="54">
        <v>-10.4</v>
      </c>
      <c r="E9" s="55"/>
    </row>
    <row r="10" spans="1:6">
      <c r="A10" s="54" t="s">
        <v>389</v>
      </c>
      <c r="B10" s="54">
        <v>1</v>
      </c>
      <c r="C10" s="54">
        <v>35.4</v>
      </c>
      <c r="D10" s="54">
        <v>-11.5</v>
      </c>
      <c r="E10" s="55"/>
    </row>
    <row r="11" spans="1:6">
      <c r="A11" s="54" t="s">
        <v>390</v>
      </c>
      <c r="B11" s="54">
        <v>1</v>
      </c>
      <c r="C11" s="54">
        <v>36.9</v>
      </c>
      <c r="D11" s="54">
        <v>-10.7</v>
      </c>
      <c r="E11" s="55"/>
    </row>
    <row r="12" spans="1:6">
      <c r="A12" s="54" t="s">
        <v>391</v>
      </c>
      <c r="B12" s="54">
        <v>1</v>
      </c>
      <c r="C12" s="54">
        <v>36.200000000000003</v>
      </c>
      <c r="D12" s="54">
        <v>-11.6</v>
      </c>
      <c r="E12" s="55"/>
    </row>
    <row r="13" spans="1:6">
      <c r="A13" s="54" t="s">
        <v>392</v>
      </c>
      <c r="B13" s="54">
        <v>1</v>
      </c>
      <c r="C13" s="54">
        <v>37.799999999999997</v>
      </c>
      <c r="D13" s="54">
        <v>-10.4</v>
      </c>
      <c r="E13" s="55"/>
    </row>
    <row r="14" spans="1:6">
      <c r="A14" s="56" t="s">
        <v>393</v>
      </c>
      <c r="B14" s="54">
        <v>1</v>
      </c>
      <c r="C14" s="54">
        <v>36.9</v>
      </c>
      <c r="D14" s="54">
        <v>-11.3</v>
      </c>
      <c r="E14" s="55"/>
    </row>
    <row r="15" spans="1:6">
      <c r="A15" s="56" t="s">
        <v>394</v>
      </c>
      <c r="B15" s="54">
        <v>1</v>
      </c>
      <c r="C15" s="54">
        <v>36</v>
      </c>
      <c r="D15" s="54">
        <v>-12.6</v>
      </c>
      <c r="E15" s="55"/>
    </row>
    <row r="16" spans="1:6">
      <c r="A16" s="56" t="s">
        <v>395</v>
      </c>
      <c r="B16" s="54">
        <v>1</v>
      </c>
      <c r="C16" s="54">
        <v>37.6</v>
      </c>
      <c r="D16" s="54">
        <v>-11.3</v>
      </c>
      <c r="E16" s="55"/>
    </row>
    <row r="17" spans="1:5">
      <c r="A17" s="56" t="s">
        <v>396</v>
      </c>
      <c r="B17" s="54">
        <v>1</v>
      </c>
      <c r="C17" s="54">
        <v>37.299999999999997</v>
      </c>
      <c r="D17" s="54">
        <v>-11.7</v>
      </c>
      <c r="E17" s="55"/>
    </row>
    <row r="18" spans="1:5">
      <c r="A18" s="56" t="s">
        <v>397</v>
      </c>
      <c r="B18" s="54">
        <v>1</v>
      </c>
      <c r="C18" s="54">
        <v>37.700000000000003</v>
      </c>
      <c r="D18" s="54">
        <v>-11.6</v>
      </c>
      <c r="E18" s="55"/>
    </row>
    <row r="19" spans="1:5">
      <c r="A19" s="56" t="s">
        <v>398</v>
      </c>
      <c r="B19" s="54">
        <v>1</v>
      </c>
      <c r="C19" s="54">
        <v>36.799999999999997</v>
      </c>
      <c r="D19" s="54">
        <v>-13.2</v>
      </c>
      <c r="E19" s="55"/>
    </row>
    <row r="20" spans="1:5">
      <c r="A20" s="36" t="s">
        <v>399</v>
      </c>
      <c r="B20" s="1">
        <v>2</v>
      </c>
      <c r="C20" s="1">
        <v>37.299999999999997</v>
      </c>
      <c r="D20" s="1">
        <v>-12.8</v>
      </c>
      <c r="E20" s="53"/>
    </row>
    <row r="21" spans="1:5">
      <c r="A21" s="36" t="s">
        <v>400</v>
      </c>
      <c r="B21" s="1">
        <v>2</v>
      </c>
      <c r="C21" s="1">
        <v>37.4</v>
      </c>
      <c r="D21" s="1">
        <v>-12.7</v>
      </c>
      <c r="E21" s="53"/>
    </row>
    <row r="22" spans="1:5">
      <c r="A22" s="36" t="s">
        <v>401</v>
      </c>
      <c r="B22" s="1">
        <v>2</v>
      </c>
      <c r="C22" s="1">
        <v>39.1</v>
      </c>
      <c r="D22" s="1">
        <v>-11.1</v>
      </c>
      <c r="E22" s="53"/>
    </row>
    <row r="23" spans="1:5">
      <c r="A23" s="36" t="s">
        <v>402</v>
      </c>
      <c r="B23" s="1">
        <v>2</v>
      </c>
      <c r="C23" s="1">
        <v>33.5</v>
      </c>
      <c r="D23" s="1">
        <v>-17.399999999999999</v>
      </c>
      <c r="E23" s="53"/>
    </row>
    <row r="24" spans="1:5">
      <c r="A24" s="36" t="s">
        <v>403</v>
      </c>
      <c r="B24" s="1">
        <v>2</v>
      </c>
      <c r="C24" s="1">
        <v>38.5</v>
      </c>
      <c r="D24" s="1">
        <v>-12.4</v>
      </c>
      <c r="E24" s="53"/>
    </row>
    <row r="25" spans="1:5">
      <c r="A25" s="36" t="s">
        <v>404</v>
      </c>
      <c r="B25" s="1">
        <v>2</v>
      </c>
      <c r="C25" s="1">
        <v>38.5</v>
      </c>
      <c r="D25" s="1">
        <v>-12.5</v>
      </c>
      <c r="E25" s="53"/>
    </row>
    <row r="26" spans="1:5">
      <c r="A26" s="36" t="s">
        <v>405</v>
      </c>
      <c r="B26" s="1">
        <v>2</v>
      </c>
      <c r="C26" s="1">
        <v>37.1</v>
      </c>
      <c r="D26" s="1">
        <v>-14</v>
      </c>
      <c r="E26" s="53"/>
    </row>
    <row r="27" spans="1:5">
      <c r="A27" s="36" t="s">
        <v>406</v>
      </c>
      <c r="B27" s="1">
        <v>2</v>
      </c>
      <c r="C27" s="1">
        <v>37.799999999999997</v>
      </c>
      <c r="D27" s="1">
        <v>-13.4</v>
      </c>
      <c r="E27" s="53"/>
    </row>
    <row r="28" spans="1:5">
      <c r="A28" s="36" t="s">
        <v>407</v>
      </c>
      <c r="B28" s="1">
        <v>2</v>
      </c>
      <c r="C28" s="1">
        <v>36.4</v>
      </c>
      <c r="D28" s="1">
        <v>-14.8</v>
      </c>
      <c r="E28" s="53"/>
    </row>
    <row r="29" spans="1:5">
      <c r="A29" s="36" t="s">
        <v>408</v>
      </c>
      <c r="B29" s="1">
        <v>2</v>
      </c>
      <c r="C29" s="1">
        <v>37.200000000000003</v>
      </c>
      <c r="D29" s="1">
        <v>-14.1</v>
      </c>
      <c r="E29" s="53"/>
    </row>
    <row r="30" spans="1:5">
      <c r="A30" s="36" t="s">
        <v>409</v>
      </c>
      <c r="B30" s="1">
        <v>2</v>
      </c>
      <c r="C30" s="1">
        <v>38.5</v>
      </c>
      <c r="D30" s="1">
        <v>-13.1</v>
      </c>
      <c r="E30" s="53"/>
    </row>
    <row r="31" spans="1:5">
      <c r="A31" s="36" t="s">
        <v>410</v>
      </c>
      <c r="B31" s="1">
        <v>2</v>
      </c>
      <c r="C31" s="1">
        <v>37.799999999999997</v>
      </c>
      <c r="D31" s="1">
        <v>-14</v>
      </c>
      <c r="E31" s="53"/>
    </row>
    <row r="32" spans="1:5">
      <c r="A32" s="36" t="s">
        <v>411</v>
      </c>
      <c r="B32" s="1">
        <v>2</v>
      </c>
      <c r="C32" s="1">
        <v>37.1</v>
      </c>
      <c r="D32" s="1">
        <v>-15</v>
      </c>
      <c r="E32" s="53"/>
    </row>
    <row r="33" spans="1:5">
      <c r="A33" s="36" t="s">
        <v>412</v>
      </c>
      <c r="B33" s="1">
        <v>2</v>
      </c>
      <c r="C33" s="1">
        <v>39.4</v>
      </c>
      <c r="D33" s="1">
        <v>-12.9</v>
      </c>
      <c r="E33" s="53"/>
    </row>
    <row r="34" spans="1:5">
      <c r="A34" s="36" t="s">
        <v>413</v>
      </c>
      <c r="B34" s="1">
        <v>2</v>
      </c>
      <c r="C34" s="1">
        <v>38.799999999999997</v>
      </c>
      <c r="D34" s="1">
        <v>-13.5</v>
      </c>
      <c r="E34" s="53"/>
    </row>
    <row r="35" spans="1:5">
      <c r="A35" s="36" t="s">
        <v>414</v>
      </c>
      <c r="B35" s="1">
        <v>2</v>
      </c>
      <c r="C35" s="1">
        <v>37.9</v>
      </c>
      <c r="D35" s="1">
        <v>-14.6</v>
      </c>
      <c r="E35" s="53"/>
    </row>
    <row r="36" spans="1:5">
      <c r="A36" s="36" t="s">
        <v>415</v>
      </c>
      <c r="B36" s="1">
        <v>2</v>
      </c>
      <c r="C36" s="1">
        <v>37.6</v>
      </c>
      <c r="D36" s="1">
        <v>-15.2</v>
      </c>
      <c r="E36" s="53"/>
    </row>
    <row r="37" spans="1:5">
      <c r="A37" s="36" t="s">
        <v>416</v>
      </c>
      <c r="B37" s="1">
        <v>2</v>
      </c>
      <c r="C37" s="1">
        <v>39.799999999999997</v>
      </c>
      <c r="D37" s="1">
        <v>-13</v>
      </c>
      <c r="E37" s="53"/>
    </row>
    <row r="38" spans="1:5">
      <c r="A38" s="36" t="s">
        <v>417</v>
      </c>
      <c r="B38" s="1">
        <v>2</v>
      </c>
      <c r="C38" s="1">
        <v>39.200000000000003</v>
      </c>
      <c r="D38" s="1">
        <v>-13.9</v>
      </c>
      <c r="E38" s="53"/>
    </row>
    <row r="39" spans="1:5">
      <c r="A39" s="36" t="s">
        <v>418</v>
      </c>
      <c r="B39" s="1">
        <v>2</v>
      </c>
      <c r="C39" s="1">
        <v>38.700000000000003</v>
      </c>
      <c r="D39" s="1">
        <v>-14.4</v>
      </c>
      <c r="E39" s="53"/>
    </row>
    <row r="40" spans="1:5">
      <c r="A40" s="36" t="s">
        <v>419</v>
      </c>
      <c r="B40" s="1">
        <v>2</v>
      </c>
      <c r="C40" s="1">
        <v>38.1</v>
      </c>
      <c r="D40" s="1">
        <v>-15.1</v>
      </c>
      <c r="E40" s="53"/>
    </row>
    <row r="41" spans="1:5">
      <c r="A41" s="36" t="s">
        <v>420</v>
      </c>
      <c r="B41" s="1">
        <v>2</v>
      </c>
      <c r="C41" s="1">
        <v>37.1</v>
      </c>
      <c r="D41" s="1">
        <v>-16.2</v>
      </c>
      <c r="E41" s="53"/>
    </row>
    <row r="42" spans="1:5">
      <c r="A42" s="36" t="s">
        <v>421</v>
      </c>
      <c r="B42" s="1">
        <v>2</v>
      </c>
      <c r="C42" s="1">
        <v>37.700000000000003</v>
      </c>
      <c r="D42" s="1">
        <v>-15.6</v>
      </c>
      <c r="E42" s="53"/>
    </row>
    <row r="43" spans="1:5">
      <c r="A43" s="36" t="s">
        <v>422</v>
      </c>
      <c r="B43" s="1">
        <v>2</v>
      </c>
      <c r="C43" s="1">
        <v>37.9</v>
      </c>
      <c r="D43" s="1">
        <v>-15.6</v>
      </c>
      <c r="E43" s="53"/>
    </row>
    <row r="44" spans="1:5">
      <c r="A44" s="36" t="s">
        <v>423</v>
      </c>
      <c r="B44" s="1">
        <v>2</v>
      </c>
      <c r="C44" s="1">
        <v>38.4</v>
      </c>
      <c r="D44" s="1">
        <v>-15.1</v>
      </c>
      <c r="E44" s="53"/>
    </row>
    <row r="45" spans="1:5">
      <c r="A45" s="36" t="s">
        <v>424</v>
      </c>
      <c r="B45" s="1">
        <v>2</v>
      </c>
      <c r="C45" s="1">
        <v>37.799999999999997</v>
      </c>
      <c r="D45" s="1">
        <v>-15.8</v>
      </c>
      <c r="E45" s="53"/>
    </row>
    <row r="46" spans="1:5">
      <c r="A46" s="36" t="s">
        <v>425</v>
      </c>
      <c r="B46" s="1">
        <v>2</v>
      </c>
      <c r="C46" s="1">
        <v>37</v>
      </c>
      <c r="D46" s="1">
        <v>-16.600000000000001</v>
      </c>
      <c r="E46" s="53"/>
    </row>
    <row r="47" spans="1:5">
      <c r="A47" s="36" t="s">
        <v>426</v>
      </c>
      <c r="B47" s="1">
        <v>2</v>
      </c>
      <c r="C47" s="1">
        <v>37.799999999999997</v>
      </c>
      <c r="D47" s="1">
        <v>-16</v>
      </c>
      <c r="E47" s="53"/>
    </row>
    <row r="48" spans="1:5">
      <c r="A48" s="36" t="s">
        <v>427</v>
      </c>
      <c r="B48" s="1">
        <v>2</v>
      </c>
      <c r="C48" s="1">
        <v>38.200000000000003</v>
      </c>
      <c r="D48" s="1">
        <v>-15.6</v>
      </c>
      <c r="E48" s="53"/>
    </row>
    <row r="49" spans="1:5">
      <c r="A49" s="36" t="s">
        <v>428</v>
      </c>
      <c r="B49" s="1">
        <v>2</v>
      </c>
      <c r="C49" s="1">
        <v>36.700000000000003</v>
      </c>
      <c r="D49" s="1">
        <v>-17.5</v>
      </c>
      <c r="E49" s="53"/>
    </row>
    <row r="50" spans="1:5">
      <c r="A50" s="36" t="s">
        <v>429</v>
      </c>
      <c r="B50" s="1">
        <v>2</v>
      </c>
      <c r="C50" s="1">
        <v>38.9</v>
      </c>
      <c r="D50" s="1">
        <v>-15.3</v>
      </c>
      <c r="E50" s="53"/>
    </row>
    <row r="51" spans="1:5">
      <c r="A51" s="36" t="s">
        <v>430</v>
      </c>
      <c r="B51" s="1">
        <v>2</v>
      </c>
      <c r="C51" s="1">
        <v>38.5</v>
      </c>
      <c r="D51" s="1">
        <v>-15.8</v>
      </c>
      <c r="E51" s="53"/>
    </row>
    <row r="52" spans="1:5">
      <c r="A52" s="36" t="s">
        <v>431</v>
      </c>
      <c r="B52" s="1">
        <v>2</v>
      </c>
      <c r="C52" s="1">
        <v>38.1</v>
      </c>
      <c r="D52" s="1">
        <v>-16.2</v>
      </c>
      <c r="E52" s="53"/>
    </row>
    <row r="53" spans="1:5">
      <c r="A53" s="36" t="s">
        <v>432</v>
      </c>
      <c r="B53" s="1">
        <v>2</v>
      </c>
      <c r="C53" s="1">
        <v>36.9</v>
      </c>
      <c r="D53" s="1">
        <v>-17.7</v>
      </c>
      <c r="E53" s="53"/>
    </row>
    <row r="54" spans="1:5">
      <c r="A54" s="36" t="s">
        <v>433</v>
      </c>
      <c r="B54" s="1">
        <v>2</v>
      </c>
      <c r="C54" s="1">
        <v>39</v>
      </c>
      <c r="D54" s="1">
        <v>-15.8</v>
      </c>
      <c r="E54" s="53"/>
    </row>
    <row r="55" spans="1:5">
      <c r="A55" s="36" t="s">
        <v>434</v>
      </c>
      <c r="B55" s="1">
        <v>2</v>
      </c>
      <c r="C55" s="1">
        <v>39.9</v>
      </c>
      <c r="D55" s="1">
        <v>-15.1</v>
      </c>
      <c r="E55" s="53"/>
    </row>
    <row r="56" spans="1:5">
      <c r="A56" s="36" t="s">
        <v>435</v>
      </c>
      <c r="B56" s="1">
        <v>2</v>
      </c>
      <c r="C56" s="1">
        <v>37.700000000000003</v>
      </c>
      <c r="D56" s="1">
        <v>-17.3</v>
      </c>
      <c r="E56" s="53"/>
    </row>
    <row r="57" spans="1:5">
      <c r="A57" s="36" t="s">
        <v>436</v>
      </c>
      <c r="B57" s="1">
        <v>2</v>
      </c>
      <c r="C57" s="1">
        <v>38.700000000000003</v>
      </c>
      <c r="D57" s="1">
        <v>-16.399999999999999</v>
      </c>
      <c r="E57" s="53"/>
    </row>
    <row r="58" spans="1:5">
      <c r="A58" s="36" t="s">
        <v>437</v>
      </c>
      <c r="B58" s="1">
        <v>2</v>
      </c>
      <c r="C58" s="1">
        <v>37</v>
      </c>
      <c r="D58" s="1">
        <v>-18.2</v>
      </c>
      <c r="E58" s="53"/>
    </row>
    <row r="59" spans="1:5">
      <c r="A59" s="36" t="s">
        <v>438</v>
      </c>
      <c r="B59" s="1">
        <v>2</v>
      </c>
      <c r="C59" s="1">
        <v>38</v>
      </c>
      <c r="D59" s="1">
        <v>-17.2</v>
      </c>
      <c r="E59" s="53"/>
    </row>
    <row r="60" spans="1:5">
      <c r="A60" s="36" t="s">
        <v>439</v>
      </c>
      <c r="B60" s="1">
        <v>2</v>
      </c>
      <c r="C60" s="1">
        <v>38.200000000000003</v>
      </c>
      <c r="D60" s="1">
        <v>-17</v>
      </c>
      <c r="E60" s="53"/>
    </row>
    <row r="61" spans="1:5">
      <c r="A61" s="36" t="s">
        <v>440</v>
      </c>
      <c r="B61" s="1">
        <v>2</v>
      </c>
      <c r="C61" s="1">
        <v>39.6</v>
      </c>
      <c r="D61" s="1">
        <v>-15.7</v>
      </c>
      <c r="E61" s="53"/>
    </row>
    <row r="62" spans="1:5">
      <c r="A62" s="36" t="s">
        <v>441</v>
      </c>
      <c r="B62" s="1">
        <v>2</v>
      </c>
      <c r="C62" s="1">
        <v>38.1</v>
      </c>
      <c r="D62" s="1">
        <v>-17.399999999999999</v>
      </c>
      <c r="E62" s="53"/>
    </row>
    <row r="63" spans="1:5">
      <c r="A63" s="36" t="s">
        <v>442</v>
      </c>
      <c r="B63" s="1">
        <v>2</v>
      </c>
      <c r="C63" s="1">
        <v>37.1</v>
      </c>
      <c r="D63" s="1">
        <v>-18.399999999999999</v>
      </c>
      <c r="E63" s="53"/>
    </row>
    <row r="64" spans="1:5">
      <c r="A64" s="36" t="s">
        <v>443</v>
      </c>
      <c r="B64" s="1">
        <v>2</v>
      </c>
      <c r="C64" s="1">
        <v>37.1</v>
      </c>
      <c r="D64" s="1">
        <v>-18.7</v>
      </c>
      <c r="E64" s="53"/>
    </row>
    <row r="65" spans="1:5">
      <c r="A65" s="36" t="s">
        <v>444</v>
      </c>
      <c r="B65" s="1">
        <v>2</v>
      </c>
      <c r="C65" s="1">
        <v>39.5</v>
      </c>
      <c r="D65" s="1">
        <v>-16.399999999999999</v>
      </c>
      <c r="E65" s="53"/>
    </row>
    <row r="66" spans="1:5">
      <c r="A66" s="36" t="s">
        <v>445</v>
      </c>
      <c r="B66" s="1">
        <v>2</v>
      </c>
      <c r="C66" s="1">
        <v>36.5</v>
      </c>
      <c r="D66" s="1">
        <v>-20</v>
      </c>
      <c r="E66" s="53"/>
    </row>
    <row r="67" spans="1:5">
      <c r="A67" s="36" t="s">
        <v>446</v>
      </c>
      <c r="B67" s="1">
        <v>2</v>
      </c>
      <c r="C67" s="1">
        <v>38</v>
      </c>
      <c r="D67" s="1">
        <v>-18.5</v>
      </c>
      <c r="E67" s="53"/>
    </row>
    <row r="68" spans="1:5">
      <c r="A68" s="36" t="s">
        <v>447</v>
      </c>
      <c r="B68" s="1">
        <v>2</v>
      </c>
      <c r="C68" s="1">
        <v>34.700000000000003</v>
      </c>
      <c r="D68" s="1">
        <v>-22</v>
      </c>
      <c r="E68" s="53"/>
    </row>
    <row r="69" spans="1:5">
      <c r="A69" s="36" t="s">
        <v>448</v>
      </c>
      <c r="B69" s="1">
        <v>2</v>
      </c>
      <c r="C69" s="1">
        <v>39.4</v>
      </c>
      <c r="D69" s="1">
        <v>-17.399999999999999</v>
      </c>
      <c r="E69" s="53"/>
    </row>
    <row r="70" spans="1:5">
      <c r="A70" s="36" t="s">
        <v>449</v>
      </c>
      <c r="B70" s="1">
        <v>2</v>
      </c>
      <c r="C70" s="1">
        <v>39.700000000000003</v>
      </c>
      <c r="D70" s="1">
        <v>-17.399999999999999</v>
      </c>
      <c r="E70" s="53"/>
    </row>
    <row r="71" spans="1:5">
      <c r="A71" s="36" t="s">
        <v>450</v>
      </c>
      <c r="B71" s="1">
        <v>2</v>
      </c>
      <c r="C71" s="1">
        <v>37.5</v>
      </c>
      <c r="D71" s="1">
        <v>-19.600000000000001</v>
      </c>
      <c r="E71" s="53"/>
    </row>
    <row r="72" spans="1:5">
      <c r="A72" s="36" t="s">
        <v>451</v>
      </c>
      <c r="B72" s="1">
        <v>2</v>
      </c>
      <c r="C72" s="1">
        <v>39.1</v>
      </c>
      <c r="D72" s="1">
        <v>-18.100000000000001</v>
      </c>
      <c r="E72" s="53"/>
    </row>
    <row r="73" spans="1:5">
      <c r="A73" s="36" t="s">
        <v>452</v>
      </c>
      <c r="B73" s="1">
        <v>2</v>
      </c>
      <c r="C73" s="1">
        <v>37.5</v>
      </c>
      <c r="D73" s="1">
        <v>-19.7</v>
      </c>
      <c r="E73" s="53"/>
    </row>
    <row r="74" spans="1:5">
      <c r="A74" s="36" t="s">
        <v>453</v>
      </c>
      <c r="B74" s="1">
        <v>2</v>
      </c>
      <c r="C74" s="1">
        <v>37.9</v>
      </c>
      <c r="D74" s="1">
        <v>-19.5</v>
      </c>
      <c r="E74" s="53"/>
    </row>
    <row r="75" spans="1:5">
      <c r="A75" s="36" t="s">
        <v>454</v>
      </c>
      <c r="B75" s="1">
        <v>2</v>
      </c>
      <c r="C75" s="1">
        <v>35.700000000000003</v>
      </c>
      <c r="D75" s="1">
        <v>-21.7</v>
      </c>
      <c r="E75" s="53"/>
    </row>
    <row r="76" spans="1:5">
      <c r="A76" s="36" t="s">
        <v>455</v>
      </c>
      <c r="B76" s="1">
        <v>2</v>
      </c>
      <c r="C76" s="1">
        <v>37.9</v>
      </c>
      <c r="D76" s="1">
        <v>-19.600000000000001</v>
      </c>
      <c r="E76" s="53"/>
    </row>
    <row r="77" spans="1:5">
      <c r="A77" s="36" t="s">
        <v>456</v>
      </c>
      <c r="B77" s="1">
        <v>2</v>
      </c>
      <c r="C77" s="1">
        <v>39.299999999999997</v>
      </c>
      <c r="D77" s="1">
        <v>-18.600000000000001</v>
      </c>
      <c r="E77" s="53"/>
    </row>
    <row r="78" spans="1:5">
      <c r="A78" s="36" t="s">
        <v>457</v>
      </c>
      <c r="B78" s="1">
        <v>2</v>
      </c>
      <c r="C78" s="1">
        <v>35.799999999999997</v>
      </c>
      <c r="D78" s="1">
        <v>-22.1</v>
      </c>
      <c r="E78" s="53"/>
    </row>
    <row r="79" spans="1:5">
      <c r="A79" s="36" t="s">
        <v>458</v>
      </c>
      <c r="B79" s="1">
        <v>2</v>
      </c>
      <c r="C79" s="1">
        <v>36.4</v>
      </c>
      <c r="D79" s="1">
        <v>-21.5</v>
      </c>
      <c r="E79" s="53"/>
    </row>
    <row r="80" spans="1:5">
      <c r="A80" s="36" t="s">
        <v>459</v>
      </c>
      <c r="B80" s="1">
        <v>2</v>
      </c>
      <c r="C80" s="1">
        <v>38.1</v>
      </c>
      <c r="D80" s="1">
        <v>-19.8</v>
      </c>
      <c r="E80" s="53"/>
    </row>
    <row r="81" spans="1:5">
      <c r="A81" s="36" t="s">
        <v>460</v>
      </c>
      <c r="B81" s="1">
        <v>2</v>
      </c>
      <c r="C81" s="1">
        <v>39.6</v>
      </c>
      <c r="D81" s="1">
        <v>-18.600000000000001</v>
      </c>
      <c r="E81" s="53"/>
    </row>
    <row r="82" spans="1:5">
      <c r="A82" s="36" t="s">
        <v>461</v>
      </c>
      <c r="B82" s="1">
        <v>2</v>
      </c>
      <c r="C82" s="1">
        <v>37</v>
      </c>
      <c r="D82" s="1">
        <v>-21.4</v>
      </c>
      <c r="E82" s="53"/>
    </row>
    <row r="83" spans="1:5">
      <c r="A83" s="36" t="s">
        <v>462</v>
      </c>
      <c r="B83" s="1">
        <v>2</v>
      </c>
      <c r="C83" s="1">
        <v>38.5</v>
      </c>
      <c r="D83" s="1">
        <v>-20</v>
      </c>
      <c r="E83" s="53"/>
    </row>
    <row r="84" spans="1:5">
      <c r="A84" s="36" t="s">
        <v>463</v>
      </c>
      <c r="B84" s="1">
        <v>2</v>
      </c>
      <c r="C84" s="1">
        <v>39.299999999999997</v>
      </c>
      <c r="D84" s="1">
        <v>-19.399999999999999</v>
      </c>
      <c r="E84" s="53"/>
    </row>
    <row r="85" spans="1:5">
      <c r="A85" s="36" t="s">
        <v>464</v>
      </c>
      <c r="B85" s="1">
        <v>2</v>
      </c>
      <c r="C85" s="1">
        <v>38</v>
      </c>
      <c r="D85" s="1">
        <v>-20.9</v>
      </c>
      <c r="E85" s="53"/>
    </row>
    <row r="86" spans="1:5">
      <c r="A86" s="36" t="s">
        <v>465</v>
      </c>
      <c r="B86" s="1">
        <v>2</v>
      </c>
      <c r="C86" s="1">
        <v>38.700000000000003</v>
      </c>
      <c r="D86" s="1">
        <v>-20.399999999999999</v>
      </c>
      <c r="E86" s="53"/>
    </row>
    <row r="87" spans="1:5">
      <c r="A87" s="36" t="s">
        <v>466</v>
      </c>
      <c r="B87" s="1">
        <v>2</v>
      </c>
      <c r="C87" s="1">
        <v>37.6</v>
      </c>
      <c r="D87" s="1">
        <v>-21.6</v>
      </c>
      <c r="E87" s="53"/>
    </row>
    <row r="88" spans="1:5">
      <c r="A88" s="36" t="s">
        <v>467</v>
      </c>
      <c r="B88" s="1">
        <v>2</v>
      </c>
      <c r="C88" s="1">
        <v>38.9</v>
      </c>
      <c r="D88" s="1">
        <v>-20.399999999999999</v>
      </c>
      <c r="E88" s="53"/>
    </row>
    <row r="89" spans="1:5">
      <c r="A89" s="36" t="s">
        <v>468</v>
      </c>
      <c r="B89" s="1">
        <v>2</v>
      </c>
      <c r="C89" s="1">
        <v>37.5</v>
      </c>
      <c r="D89" s="1">
        <v>-21.8</v>
      </c>
      <c r="E89" s="53"/>
    </row>
    <row r="90" spans="1:5">
      <c r="A90" s="36" t="s">
        <v>469</v>
      </c>
      <c r="B90" s="1">
        <v>2</v>
      </c>
      <c r="C90" s="1">
        <v>39.6</v>
      </c>
      <c r="D90" s="1">
        <v>-20.100000000000001</v>
      </c>
      <c r="E90" s="53"/>
    </row>
    <row r="91" spans="1:5">
      <c r="A91" s="36" t="s">
        <v>470</v>
      </c>
      <c r="B91" s="1">
        <v>2</v>
      </c>
      <c r="C91" s="1">
        <v>36.5</v>
      </c>
      <c r="D91" s="1">
        <v>-23.3</v>
      </c>
      <c r="E91" s="53"/>
    </row>
    <row r="92" spans="1:5">
      <c r="A92" s="36" t="s">
        <v>471</v>
      </c>
      <c r="B92" s="1">
        <v>2</v>
      </c>
      <c r="C92" s="1">
        <v>38.799999999999997</v>
      </c>
      <c r="D92" s="1">
        <v>-21.2</v>
      </c>
      <c r="E92" s="53"/>
    </row>
    <row r="93" spans="1:5">
      <c r="A93" s="36" t="s">
        <v>472</v>
      </c>
      <c r="B93" s="1">
        <v>2</v>
      </c>
      <c r="C93" s="1">
        <v>38</v>
      </c>
      <c r="D93" s="1">
        <v>-22</v>
      </c>
      <c r="E93" s="53"/>
    </row>
    <row r="94" spans="1:5">
      <c r="A94" s="56" t="s">
        <v>473</v>
      </c>
      <c r="B94" s="54">
        <v>3</v>
      </c>
      <c r="C94" s="54">
        <v>38.200000000000003</v>
      </c>
      <c r="D94" s="54">
        <v>-22</v>
      </c>
      <c r="E94" s="55"/>
    </row>
    <row r="95" spans="1:5">
      <c r="A95" s="56" t="s">
        <v>474</v>
      </c>
      <c r="B95" s="54">
        <v>3</v>
      </c>
      <c r="C95" s="54">
        <v>38.799999999999997</v>
      </c>
      <c r="D95" s="54">
        <v>-22</v>
      </c>
      <c r="E95" s="55"/>
    </row>
    <row r="96" spans="1:5">
      <c r="A96" s="56" t="s">
        <v>475</v>
      </c>
      <c r="B96" s="54">
        <v>3</v>
      </c>
      <c r="C96" s="54">
        <v>37.799999999999997</v>
      </c>
      <c r="D96" s="54">
        <v>-23.9</v>
      </c>
      <c r="E96" s="55"/>
    </row>
    <row r="97" spans="1:5">
      <c r="A97" s="56" t="s">
        <v>476</v>
      </c>
      <c r="B97" s="54">
        <v>3</v>
      </c>
      <c r="C97" s="54">
        <v>40</v>
      </c>
      <c r="D97" s="54">
        <v>-21.7</v>
      </c>
      <c r="E97" s="55"/>
    </row>
    <row r="98" spans="1:5">
      <c r="A98" s="56" t="s">
        <v>477</v>
      </c>
      <c r="B98" s="54">
        <v>3</v>
      </c>
      <c r="C98" s="54">
        <v>35</v>
      </c>
      <c r="D98" s="54">
        <v>-26.8</v>
      </c>
      <c r="E98" s="55"/>
    </row>
    <row r="99" spans="1:5">
      <c r="A99" s="56" t="s">
        <v>478</v>
      </c>
      <c r="B99" s="54">
        <v>3</v>
      </c>
      <c r="C99" s="54">
        <v>40.1</v>
      </c>
      <c r="D99" s="54">
        <v>-21.8</v>
      </c>
      <c r="E99" s="55"/>
    </row>
    <row r="100" spans="1:5">
      <c r="A100" s="56" t="s">
        <v>479</v>
      </c>
      <c r="B100" s="54">
        <v>3</v>
      </c>
      <c r="C100" s="54">
        <v>37.6</v>
      </c>
      <c r="D100" s="54">
        <v>-24.5</v>
      </c>
      <c r="E100" s="55"/>
    </row>
    <row r="101" spans="1:5">
      <c r="A101" s="56" t="s">
        <v>480</v>
      </c>
      <c r="B101" s="54">
        <v>3</v>
      </c>
      <c r="C101" s="54">
        <v>40.6</v>
      </c>
      <c r="D101" s="54">
        <v>-21.7</v>
      </c>
      <c r="E101" s="55"/>
    </row>
    <row r="102" spans="1:5">
      <c r="A102" s="56" t="s">
        <v>481</v>
      </c>
      <c r="B102" s="54">
        <v>3</v>
      </c>
      <c r="C102" s="54">
        <v>37.700000000000003</v>
      </c>
      <c r="D102" s="54">
        <v>-24.6</v>
      </c>
      <c r="E102" s="55"/>
    </row>
    <row r="103" spans="1:5">
      <c r="A103" s="56" t="s">
        <v>482</v>
      </c>
      <c r="B103" s="54">
        <v>3</v>
      </c>
      <c r="C103" s="54">
        <v>38.5</v>
      </c>
      <c r="D103" s="54">
        <v>-24</v>
      </c>
      <c r="E103" s="55"/>
    </row>
    <row r="104" spans="1:5">
      <c r="A104" s="56" t="s">
        <v>483</v>
      </c>
      <c r="B104" s="54">
        <v>3</v>
      </c>
      <c r="C104" s="54">
        <v>39.4</v>
      </c>
      <c r="D104" s="54">
        <v>-23.2</v>
      </c>
      <c r="E104" s="55"/>
    </row>
    <row r="105" spans="1:5">
      <c r="A105" s="56" t="s">
        <v>484</v>
      </c>
      <c r="B105" s="54">
        <v>3</v>
      </c>
      <c r="C105" s="54">
        <v>39.9</v>
      </c>
      <c r="D105" s="54">
        <v>-23.5</v>
      </c>
      <c r="E105" s="55"/>
    </row>
    <row r="106" spans="1:5">
      <c r="A106" s="56" t="s">
        <v>485</v>
      </c>
      <c r="B106" s="54">
        <v>3</v>
      </c>
      <c r="C106" s="54">
        <v>37.799999999999997</v>
      </c>
      <c r="D106" s="54">
        <v>-25.6</v>
      </c>
      <c r="E106" s="55"/>
    </row>
    <row r="107" spans="1:5">
      <c r="A107" s="56" t="s">
        <v>486</v>
      </c>
      <c r="B107" s="54">
        <v>3</v>
      </c>
      <c r="C107" s="54">
        <v>40.4</v>
      </c>
      <c r="D107" s="54">
        <v>-23.2</v>
      </c>
      <c r="E107" s="55"/>
    </row>
    <row r="108" spans="1:5">
      <c r="A108" s="56" t="s">
        <v>487</v>
      </c>
      <c r="B108" s="54">
        <v>3</v>
      </c>
      <c r="C108" s="54">
        <v>37.200000000000003</v>
      </c>
      <c r="D108" s="54">
        <v>-26.7</v>
      </c>
      <c r="E108" s="55"/>
    </row>
    <row r="109" spans="1:5">
      <c r="A109" s="56" t="s">
        <v>488</v>
      </c>
      <c r="B109" s="54">
        <v>3</v>
      </c>
      <c r="C109" s="54">
        <v>39.5</v>
      </c>
      <c r="D109" s="54">
        <v>-24.5</v>
      </c>
      <c r="E109" s="55"/>
    </row>
    <row r="110" spans="1:5">
      <c r="A110" s="56" t="s">
        <v>489</v>
      </c>
      <c r="B110" s="54">
        <v>3</v>
      </c>
      <c r="C110" s="54">
        <v>38.6</v>
      </c>
      <c r="D110" s="54">
        <v>-25.5</v>
      </c>
      <c r="E110" s="55"/>
    </row>
    <row r="111" spans="1:5">
      <c r="A111" s="56" t="s">
        <v>490</v>
      </c>
      <c r="B111" s="54">
        <v>3</v>
      </c>
      <c r="C111" s="54">
        <v>38.700000000000003</v>
      </c>
      <c r="D111" s="54">
        <v>-26.2</v>
      </c>
      <c r="E111" s="55"/>
    </row>
    <row r="112" spans="1:5">
      <c r="A112" s="56" t="s">
        <v>491</v>
      </c>
      <c r="B112" s="54">
        <v>3</v>
      </c>
      <c r="C112" s="54">
        <v>39.4</v>
      </c>
      <c r="D112" s="54">
        <v>-26</v>
      </c>
      <c r="E112" s="55"/>
    </row>
    <row r="113" spans="1:5">
      <c r="A113" s="56" t="s">
        <v>492</v>
      </c>
      <c r="B113" s="54">
        <v>3</v>
      </c>
      <c r="C113" s="54">
        <v>37.799999999999997</v>
      </c>
      <c r="D113" s="54">
        <v>-27.7</v>
      </c>
      <c r="E113" s="55"/>
    </row>
    <row r="114" spans="1:5">
      <c r="A114" s="56" t="s">
        <v>493</v>
      </c>
      <c r="B114" s="54">
        <v>3</v>
      </c>
      <c r="C114" s="54">
        <v>33.700000000000003</v>
      </c>
      <c r="D114" s="54">
        <v>-32.299999999999997</v>
      </c>
      <c r="E114" s="55"/>
    </row>
    <row r="115" spans="1:5">
      <c r="A115" s="56" t="s">
        <v>494</v>
      </c>
      <c r="B115" s="54">
        <v>3</v>
      </c>
      <c r="C115" s="54">
        <v>38.700000000000003</v>
      </c>
      <c r="D115" s="54">
        <v>-27.8</v>
      </c>
      <c r="E115" s="55"/>
    </row>
    <row r="116" spans="1:5">
      <c r="A116" s="56" t="s">
        <v>495</v>
      </c>
      <c r="B116" s="54">
        <v>3</v>
      </c>
      <c r="C116" s="54">
        <v>38.4</v>
      </c>
      <c r="D116" s="54">
        <v>-29.2</v>
      </c>
      <c r="E116" s="55"/>
    </row>
    <row r="117" spans="1:5">
      <c r="A117" s="56" t="s">
        <v>496</v>
      </c>
      <c r="B117" s="54">
        <v>3</v>
      </c>
      <c r="C117" s="54">
        <v>41</v>
      </c>
      <c r="D117" s="54">
        <v>-26.7</v>
      </c>
      <c r="E117" s="55"/>
    </row>
    <row r="118" spans="1:5">
      <c r="A118" s="56" t="s">
        <v>497</v>
      </c>
      <c r="B118" s="54">
        <v>3</v>
      </c>
      <c r="C118" s="54">
        <v>38.9</v>
      </c>
      <c r="D118" s="54">
        <v>-29.5</v>
      </c>
      <c r="E118" s="55"/>
    </row>
    <row r="119" spans="1:5">
      <c r="A119" s="56" t="s">
        <v>498</v>
      </c>
      <c r="B119" s="54">
        <v>3</v>
      </c>
      <c r="C119" s="54">
        <v>33.200000000000003</v>
      </c>
      <c r="D119" s="54">
        <v>-36.6</v>
      </c>
      <c r="E119" s="55"/>
    </row>
    <row r="120" spans="1:5">
      <c r="A120" s="56" t="s">
        <v>499</v>
      </c>
      <c r="B120" s="54">
        <v>3</v>
      </c>
      <c r="C120" s="54">
        <v>33.5</v>
      </c>
      <c r="D120" s="54">
        <v>-40.1</v>
      </c>
      <c r="E120" s="55"/>
    </row>
    <row r="121" spans="1:5">
      <c r="A121" s="56" t="s">
        <v>500</v>
      </c>
      <c r="B121" s="54">
        <v>3</v>
      </c>
      <c r="C121" s="54">
        <v>40.200000000000003</v>
      </c>
      <c r="D121" s="54">
        <v>-35.5</v>
      </c>
      <c r="E121" s="55"/>
    </row>
    <row r="122" spans="1:5">
      <c r="A122" s="56" t="s">
        <v>501</v>
      </c>
      <c r="B122" s="54">
        <v>3</v>
      </c>
      <c r="C122" s="54">
        <v>46</v>
      </c>
      <c r="D122" s="54">
        <v>-33.9</v>
      </c>
      <c r="E122" s="55"/>
    </row>
    <row r="123" spans="1:5">
      <c r="A123" s="36"/>
      <c r="B123" s="1"/>
      <c r="C123" s="1"/>
      <c r="D123" s="1"/>
      <c r="E123" s="53"/>
    </row>
    <row r="124" spans="1:5">
      <c r="A124" s="36"/>
      <c r="B124" s="1"/>
      <c r="C124" s="1"/>
      <c r="D124" s="1"/>
      <c r="E124" s="53"/>
    </row>
    <row r="125" spans="1:5">
      <c r="A125" s="36"/>
      <c r="B125" s="1"/>
      <c r="C125" s="1"/>
      <c r="D125" s="1"/>
      <c r="E125" s="53"/>
    </row>
    <row r="126" spans="1:5">
      <c r="A126" s="36"/>
      <c r="B126" s="1"/>
      <c r="C126" s="1"/>
      <c r="D126" s="1"/>
      <c r="E126" s="53"/>
    </row>
    <row r="127" spans="1:5">
      <c r="A127" s="36"/>
      <c r="B127" s="1"/>
      <c r="C127" s="1"/>
      <c r="D127" s="1"/>
      <c r="E127" s="53"/>
    </row>
    <row r="128" spans="1:5">
      <c r="A128" s="36"/>
      <c r="B128" s="1"/>
      <c r="C128" s="1"/>
      <c r="D128" s="1"/>
      <c r="E128" s="53"/>
    </row>
    <row r="129" spans="1:5">
      <c r="A129" s="36"/>
      <c r="B129" s="1"/>
      <c r="C129" s="1"/>
      <c r="D129" s="1"/>
      <c r="E129" s="53"/>
    </row>
    <row r="130" spans="1:5">
      <c r="A130" s="36"/>
      <c r="B130" s="1"/>
      <c r="C130" s="1"/>
      <c r="D130" s="1"/>
      <c r="E130" s="53"/>
    </row>
    <row r="131" spans="1:5">
      <c r="A131" s="36"/>
      <c r="B131" s="1"/>
      <c r="C131" s="1"/>
      <c r="D131" s="1"/>
      <c r="E131" s="53"/>
    </row>
    <row r="132" spans="1:5">
      <c r="A132" s="36"/>
      <c r="B132" s="1"/>
      <c r="C132" s="1"/>
      <c r="D132" s="1"/>
      <c r="E132" s="53"/>
    </row>
    <row r="133" spans="1:5">
      <c r="A133" s="36"/>
      <c r="B133" s="1"/>
      <c r="C133" s="1"/>
      <c r="D133" s="1"/>
      <c r="E133" s="53"/>
    </row>
    <row r="134" spans="1:5">
      <c r="A134" s="36"/>
      <c r="B134" s="1"/>
      <c r="C134" s="1"/>
      <c r="D134" s="1"/>
      <c r="E134" s="53"/>
    </row>
    <row r="135" spans="1:5">
      <c r="A135" s="36"/>
      <c r="B135" s="1"/>
      <c r="C135" s="1"/>
      <c r="D135" s="1"/>
      <c r="E135" s="53"/>
    </row>
    <row r="136" spans="1:5">
      <c r="A136" s="36"/>
      <c r="B136" s="1"/>
      <c r="C136" s="1"/>
      <c r="D136" s="1"/>
      <c r="E136" s="53"/>
    </row>
    <row r="137" spans="1:5">
      <c r="A137" s="36"/>
      <c r="B137" s="1"/>
      <c r="C137" s="1"/>
      <c r="D137" s="1"/>
      <c r="E137" s="53"/>
    </row>
    <row r="138" spans="1:5">
      <c r="A138" s="36"/>
      <c r="B138" s="1"/>
      <c r="C138" s="1"/>
      <c r="D138" s="1"/>
      <c r="E138" s="53"/>
    </row>
    <row r="139" spans="1:5">
      <c r="A139" s="36"/>
      <c r="B139" s="1"/>
      <c r="C139" s="1"/>
      <c r="D139" s="1"/>
      <c r="E139" s="53"/>
    </row>
    <row r="140" spans="1:5">
      <c r="A140" s="36"/>
      <c r="B140" s="1"/>
      <c r="C140" s="1"/>
      <c r="D140" s="1"/>
      <c r="E140" s="53"/>
    </row>
    <row r="141" spans="1:5">
      <c r="A141" s="36"/>
      <c r="B141" s="1"/>
      <c r="C141" s="1"/>
      <c r="D141" s="1"/>
      <c r="E141" s="53"/>
    </row>
    <row r="142" spans="1:5">
      <c r="A142" s="36"/>
      <c r="B142" s="1"/>
      <c r="C142" s="1"/>
      <c r="D142" s="1"/>
      <c r="E142" s="53"/>
    </row>
    <row r="143" spans="1:5">
      <c r="A143" s="36"/>
      <c r="B143" s="1"/>
      <c r="C143" s="1"/>
      <c r="D143" s="1"/>
      <c r="E143" s="53"/>
    </row>
    <row r="144" spans="1:5">
      <c r="A144" s="36"/>
      <c r="B144" s="1"/>
      <c r="C144" s="1"/>
      <c r="D144" s="1"/>
      <c r="E144" s="53"/>
    </row>
    <row r="145" spans="1:5">
      <c r="A145" s="36"/>
      <c r="B145" s="1"/>
      <c r="C145" s="1"/>
      <c r="D145" s="1"/>
      <c r="E145" s="53"/>
    </row>
    <row r="146" spans="1:5">
      <c r="A146" s="36"/>
      <c r="B146" s="1"/>
      <c r="C146" s="1"/>
      <c r="D146" s="1"/>
      <c r="E146" s="53"/>
    </row>
    <row r="147" spans="1:5">
      <c r="A147" s="36"/>
      <c r="B147" s="1"/>
      <c r="C147" s="1"/>
      <c r="D147" s="1"/>
      <c r="E147" s="53"/>
    </row>
    <row r="148" spans="1:5">
      <c r="A148" s="36"/>
      <c r="B148" s="1"/>
      <c r="C148" s="1"/>
      <c r="D148" s="1"/>
      <c r="E148" s="53"/>
    </row>
    <row r="149" spans="1:5">
      <c r="A149" s="36"/>
      <c r="B149" s="1"/>
      <c r="C149" s="1"/>
      <c r="D149" s="1"/>
      <c r="E149" s="53"/>
    </row>
    <row r="150" spans="1:5">
      <c r="A150" s="36"/>
      <c r="B150" s="1"/>
      <c r="C150" s="1"/>
      <c r="D150" s="1"/>
      <c r="E150" s="53"/>
    </row>
    <row r="151" spans="1:5">
      <c r="A151" s="36"/>
      <c r="B151" s="1"/>
      <c r="C151" s="1"/>
      <c r="D151" s="1"/>
      <c r="E151" s="53"/>
    </row>
    <row r="152" spans="1:5">
      <c r="A152" s="36"/>
      <c r="B152" s="1"/>
      <c r="C152" s="1"/>
      <c r="D152" s="1"/>
      <c r="E152" s="53"/>
    </row>
    <row r="153" spans="1:5">
      <c r="A153" s="36"/>
      <c r="B153" s="1"/>
      <c r="C153" s="1"/>
      <c r="D153" s="1"/>
      <c r="E153" s="53"/>
    </row>
    <row r="154" spans="1:5">
      <c r="A154" s="36"/>
      <c r="B154" s="1"/>
      <c r="C154" s="1"/>
      <c r="D154" s="1"/>
      <c r="E154" s="53"/>
    </row>
    <row r="155" spans="1:5">
      <c r="A155" s="36"/>
      <c r="B155" s="1"/>
      <c r="C155" s="1"/>
      <c r="D155" s="1"/>
      <c r="E155" s="53"/>
    </row>
    <row r="156" spans="1:5">
      <c r="A156" s="36"/>
      <c r="B156" s="1"/>
      <c r="C156" s="1"/>
      <c r="D156" s="1"/>
      <c r="E156" s="53"/>
    </row>
    <row r="157" spans="1:5">
      <c r="A157" s="36"/>
      <c r="B157" s="1"/>
      <c r="C157" s="1"/>
      <c r="D157" s="1"/>
      <c r="E157" s="53"/>
    </row>
    <row r="158" spans="1:5">
      <c r="A158" s="36"/>
      <c r="B158" s="1"/>
      <c r="C158" s="1"/>
      <c r="D158" s="1"/>
      <c r="E158" s="53"/>
    </row>
    <row r="159" spans="1:5">
      <c r="A159" s="36"/>
      <c r="B159" s="1"/>
      <c r="C159" s="1"/>
      <c r="D159" s="1"/>
      <c r="E159" s="53"/>
    </row>
    <row r="160" spans="1:5">
      <c r="A160" s="36"/>
      <c r="B160" s="1"/>
      <c r="C160" s="1"/>
      <c r="D160" s="1"/>
      <c r="E160" s="53"/>
    </row>
    <row r="161" spans="1:5">
      <c r="A161" s="36"/>
      <c r="B161" s="1"/>
      <c r="C161" s="1"/>
      <c r="D161" s="1"/>
      <c r="E161" s="53"/>
    </row>
    <row r="162" spans="1:5">
      <c r="A162" s="36"/>
      <c r="B162" s="1"/>
      <c r="C162" s="1"/>
      <c r="D162" s="1"/>
      <c r="E162" s="53"/>
    </row>
    <row r="163" spans="1:5">
      <c r="A163" s="36"/>
      <c r="B163" s="1"/>
      <c r="C163" s="1"/>
      <c r="D163" s="1"/>
      <c r="E163" s="53"/>
    </row>
    <row r="164" spans="1:5">
      <c r="A164" s="36"/>
      <c r="B164" s="1"/>
      <c r="C164" s="1"/>
      <c r="D164" s="1"/>
      <c r="E164" s="53"/>
    </row>
    <row r="165" spans="1:5">
      <c r="A165" s="36"/>
      <c r="B165" s="1"/>
      <c r="C165" s="1"/>
      <c r="D165" s="1"/>
      <c r="E165" s="53"/>
    </row>
    <row r="166" spans="1:5">
      <c r="A166" s="36"/>
      <c r="B166" s="1"/>
      <c r="C166" s="1"/>
      <c r="D166" s="1"/>
      <c r="E166" s="53"/>
    </row>
    <row r="167" spans="1:5">
      <c r="A167" s="36"/>
      <c r="B167" s="1"/>
      <c r="C167" s="1"/>
      <c r="D167" s="1"/>
      <c r="E167" s="53"/>
    </row>
    <row r="168" spans="1:5">
      <c r="A168" s="36"/>
      <c r="B168" s="1"/>
      <c r="C168" s="1"/>
      <c r="D168" s="1"/>
      <c r="E168" s="53"/>
    </row>
    <row r="169" spans="1:5">
      <c r="A169" s="36"/>
      <c r="B169" s="1"/>
      <c r="C169" s="1"/>
      <c r="D169" s="1"/>
      <c r="E169" s="53"/>
    </row>
    <row r="170" spans="1:5">
      <c r="A170" s="36"/>
      <c r="B170" s="1"/>
      <c r="C170" s="1"/>
      <c r="D170" s="1"/>
      <c r="E170" s="53"/>
    </row>
    <row r="171" spans="1:5">
      <c r="A171" s="36"/>
      <c r="B171" s="1"/>
      <c r="C171" s="1"/>
      <c r="D171" s="1"/>
      <c r="E171" s="53"/>
    </row>
    <row r="172" spans="1:5">
      <c r="A172" s="36"/>
      <c r="B172" s="1"/>
      <c r="C172" s="1"/>
      <c r="D172" s="1"/>
      <c r="E172" s="53"/>
    </row>
    <row r="173" spans="1:5">
      <c r="A173" s="36"/>
      <c r="B173" s="1"/>
      <c r="C173" s="1"/>
      <c r="D173" s="1"/>
      <c r="E173" s="53"/>
    </row>
    <row r="174" spans="1:5">
      <c r="A174" s="36"/>
      <c r="B174" s="1"/>
      <c r="C174" s="1"/>
      <c r="D174" s="1"/>
      <c r="E174" s="53"/>
    </row>
    <row r="175" spans="1:5">
      <c r="A175" s="36"/>
      <c r="B175" s="1"/>
      <c r="C175" s="1"/>
      <c r="D175" s="1"/>
      <c r="E175" s="53"/>
    </row>
    <row r="176" spans="1:5">
      <c r="A176" s="36"/>
      <c r="B176" s="1"/>
      <c r="C176" s="1"/>
      <c r="D176" s="1"/>
      <c r="E176" s="53"/>
    </row>
    <row r="177" spans="1:5">
      <c r="A177" s="36"/>
      <c r="B177" s="1"/>
      <c r="C177" s="1"/>
      <c r="D177" s="1"/>
      <c r="E177" s="53"/>
    </row>
    <row r="178" spans="1:5">
      <c r="A178" s="36"/>
      <c r="B178" s="1"/>
      <c r="C178" s="1"/>
      <c r="D178" s="1"/>
      <c r="E178" s="53"/>
    </row>
    <row r="179" spans="1:5">
      <c r="A179" s="36"/>
      <c r="B179" s="1"/>
      <c r="C179" s="1"/>
      <c r="D179" s="1"/>
      <c r="E179" s="53"/>
    </row>
    <row r="180" spans="1:5">
      <c r="A180" s="36"/>
      <c r="B180" s="1"/>
      <c r="C180" s="1"/>
      <c r="D180" s="1"/>
      <c r="E180" s="53"/>
    </row>
    <row r="181" spans="1:5">
      <c r="A181" s="36"/>
      <c r="B181" s="1"/>
      <c r="C181" s="1"/>
      <c r="D181" s="1"/>
      <c r="E181" s="53"/>
    </row>
    <row r="182" spans="1:5">
      <c r="A182" s="36"/>
      <c r="B182" s="1"/>
      <c r="C182" s="1"/>
      <c r="D182" s="1"/>
      <c r="E182" s="53"/>
    </row>
    <row r="183" spans="1:5">
      <c r="A183" s="36"/>
      <c r="B183" s="1"/>
      <c r="C183" s="1"/>
      <c r="D183" s="1"/>
      <c r="E183" s="53"/>
    </row>
    <row r="184" spans="1:5">
      <c r="A184" s="36"/>
      <c r="B184" s="1"/>
      <c r="C184" s="1"/>
      <c r="D184" s="1"/>
      <c r="E184" s="53"/>
    </row>
    <row r="185" spans="1:5">
      <c r="A185" s="36"/>
      <c r="B185" s="1"/>
      <c r="C185" s="1"/>
      <c r="D185" s="1"/>
      <c r="E185" s="53"/>
    </row>
    <row r="186" spans="1:5">
      <c r="A186" s="36"/>
      <c r="B186" s="1"/>
      <c r="C186" s="1"/>
      <c r="D186" s="1"/>
      <c r="E186" s="53"/>
    </row>
    <row r="187" spans="1:5">
      <c r="A187" s="36"/>
      <c r="B187" s="1"/>
      <c r="C187" s="1"/>
      <c r="D187" s="1"/>
      <c r="E187" s="53"/>
    </row>
    <row r="188" spans="1:5">
      <c r="A188" s="36"/>
      <c r="B188" s="1"/>
      <c r="C188" s="1"/>
      <c r="D188" s="1"/>
      <c r="E188" s="53"/>
    </row>
    <row r="189" spans="1:5">
      <c r="A189" s="36"/>
      <c r="B189" s="1"/>
      <c r="C189" s="1"/>
      <c r="D189" s="1"/>
      <c r="E189" s="53"/>
    </row>
    <row r="190" spans="1:5">
      <c r="A190" s="36"/>
      <c r="B190" s="1"/>
      <c r="C190" s="1"/>
      <c r="D190" s="1"/>
      <c r="E190" s="53"/>
    </row>
    <row r="191" spans="1:5">
      <c r="A191" s="36"/>
      <c r="B191" s="1"/>
      <c r="C191" s="1"/>
      <c r="D191" s="1"/>
      <c r="E191" s="53"/>
    </row>
    <row r="192" spans="1:5">
      <c r="A192" s="36"/>
      <c r="B192" s="1"/>
      <c r="C192" s="1"/>
      <c r="D192" s="1"/>
      <c r="E192" s="53"/>
    </row>
    <row r="193" spans="1:5">
      <c r="A193" s="36"/>
      <c r="B193" s="1"/>
      <c r="C193" s="1"/>
      <c r="D193" s="1"/>
      <c r="E193" s="53"/>
    </row>
    <row r="194" spans="1:5">
      <c r="A194" s="36"/>
      <c r="B194" s="1"/>
      <c r="C194" s="1"/>
      <c r="D194" s="1"/>
      <c r="E194" s="53"/>
    </row>
    <row r="195" spans="1:5">
      <c r="A195" s="36"/>
      <c r="B195" s="1"/>
      <c r="C195" s="1"/>
      <c r="D195" s="1"/>
      <c r="E195" s="53"/>
    </row>
    <row r="196" spans="1:5">
      <c r="A196" s="36"/>
      <c r="B196" s="1"/>
      <c r="C196" s="1"/>
      <c r="D196" s="1"/>
      <c r="E196" s="53"/>
    </row>
    <row r="197" spans="1:5">
      <c r="A197" s="36"/>
      <c r="B197" s="1"/>
      <c r="C197" s="1"/>
      <c r="D197" s="1"/>
      <c r="E197" s="53"/>
    </row>
    <row r="198" spans="1:5">
      <c r="A198" s="36"/>
      <c r="B198" s="1"/>
      <c r="C198" s="1"/>
      <c r="D198" s="1"/>
      <c r="E198" s="53"/>
    </row>
    <row r="199" spans="1:5">
      <c r="A199" s="36"/>
      <c r="B199" s="1"/>
      <c r="C199" s="1"/>
      <c r="D199" s="1"/>
      <c r="E199" s="53"/>
    </row>
    <row r="200" spans="1:5">
      <c r="A200" s="36"/>
      <c r="B200" s="1"/>
      <c r="C200" s="1"/>
      <c r="D200" s="1"/>
      <c r="E200" s="53"/>
    </row>
    <row r="201" spans="1:5">
      <c r="A201" s="36"/>
      <c r="B201" s="1"/>
      <c r="C201" s="1"/>
      <c r="D201" s="1"/>
      <c r="E201" s="53"/>
    </row>
    <row r="202" spans="1:5">
      <c r="A202" s="36"/>
      <c r="B202" s="1"/>
      <c r="C202" s="1"/>
      <c r="D202" s="1"/>
      <c r="E202" s="53"/>
    </row>
    <row r="203" spans="1:5">
      <c r="A203" s="36"/>
      <c r="B203" s="1"/>
      <c r="C203" s="1"/>
      <c r="D203" s="1"/>
      <c r="E203" s="53"/>
    </row>
    <row r="204" spans="1:5">
      <c r="A204" s="36"/>
      <c r="B204" s="1"/>
      <c r="C204" s="1"/>
      <c r="D204" s="1"/>
      <c r="E204" s="53"/>
    </row>
    <row r="205" spans="1:5">
      <c r="A205" s="36"/>
      <c r="B205" s="1"/>
      <c r="C205" s="1"/>
      <c r="D205" s="1"/>
      <c r="E205" s="53"/>
    </row>
    <row r="206" spans="1:5">
      <c r="A206" s="36"/>
      <c r="B206" s="1"/>
      <c r="C206" s="1"/>
      <c r="D206" s="1"/>
      <c r="E206" s="53"/>
    </row>
    <row r="207" spans="1:5">
      <c r="A207" s="36"/>
      <c r="B207" s="1"/>
      <c r="C207" s="1"/>
      <c r="D207" s="1"/>
      <c r="E207" s="53"/>
    </row>
    <row r="208" spans="1:5">
      <c r="A208" s="36"/>
      <c r="B208" s="1"/>
      <c r="C208" s="1"/>
      <c r="D208" s="1"/>
      <c r="E208" s="53"/>
    </row>
    <row r="209" spans="1:5">
      <c r="A209" s="36"/>
      <c r="B209" s="1"/>
      <c r="C209" s="1"/>
      <c r="D209" s="1"/>
      <c r="E209" s="53"/>
    </row>
    <row r="210" spans="1:5">
      <c r="A210" s="36"/>
      <c r="B210" s="1"/>
      <c r="C210" s="1"/>
      <c r="D210" s="1"/>
      <c r="E210" s="53"/>
    </row>
    <row r="211" spans="1:5">
      <c r="A211" s="36"/>
      <c r="B211" s="1"/>
      <c r="C211" s="1"/>
      <c r="D211" s="1"/>
      <c r="E211" s="53"/>
    </row>
    <row r="212" spans="1:5">
      <c r="A212" s="36"/>
      <c r="B212" s="1"/>
      <c r="C212" s="1"/>
      <c r="D212" s="1"/>
      <c r="E212" s="53"/>
    </row>
    <row r="213" spans="1:5">
      <c r="A213" s="36"/>
      <c r="B213" s="1"/>
      <c r="C213" s="1"/>
      <c r="D213" s="1"/>
      <c r="E213" s="53"/>
    </row>
    <row r="214" spans="1:5">
      <c r="A214" s="36"/>
      <c r="B214" s="1"/>
      <c r="C214" s="1"/>
      <c r="D214" s="1"/>
      <c r="E214" s="53"/>
    </row>
    <row r="215" spans="1:5">
      <c r="A215" s="36"/>
      <c r="B215" s="1"/>
      <c r="C215" s="1"/>
      <c r="D215" s="1"/>
      <c r="E215" s="53"/>
    </row>
    <row r="216" spans="1:5">
      <c r="A216" s="36"/>
      <c r="B216" s="1"/>
      <c r="C216" s="1"/>
      <c r="D216" s="1"/>
      <c r="E216" s="53"/>
    </row>
    <row r="217" spans="1:5">
      <c r="A217" s="36"/>
      <c r="B217" s="1"/>
      <c r="C217" s="1"/>
      <c r="D217" s="1"/>
      <c r="E217" s="53"/>
    </row>
    <row r="218" spans="1:5">
      <c r="A218" s="36"/>
      <c r="B218" s="1"/>
      <c r="C218" s="1"/>
      <c r="D218" s="1"/>
      <c r="E218" s="53"/>
    </row>
    <row r="219" spans="1:5">
      <c r="A219" s="36"/>
      <c r="B219" s="1"/>
      <c r="C219" s="1"/>
      <c r="D219" s="1"/>
      <c r="E219" s="53"/>
    </row>
    <row r="220" spans="1:5">
      <c r="A220" s="36"/>
      <c r="B220" s="1"/>
      <c r="C220" s="1"/>
      <c r="D220" s="1"/>
      <c r="E220" s="53"/>
    </row>
    <row r="221" spans="1:5">
      <c r="A221" s="36"/>
      <c r="B221" s="1"/>
      <c r="C221" s="1"/>
      <c r="D221" s="1"/>
      <c r="E221" s="53"/>
    </row>
    <row r="222" spans="1:5">
      <c r="A222" s="36"/>
      <c r="B222" s="1"/>
      <c r="C222" s="1"/>
      <c r="D222" s="1"/>
      <c r="E222" s="53"/>
    </row>
    <row r="223" spans="1:5">
      <c r="A223" s="36"/>
      <c r="B223" s="1"/>
      <c r="C223" s="1"/>
      <c r="D223" s="1"/>
      <c r="E223" s="53"/>
    </row>
    <row r="224" spans="1:5">
      <c r="A224" s="36"/>
      <c r="B224" s="1"/>
      <c r="C224" s="1"/>
      <c r="D224" s="1"/>
      <c r="E224" s="53"/>
    </row>
    <row r="225" spans="1:5">
      <c r="A225" s="36"/>
      <c r="B225" s="1"/>
      <c r="C225" s="1"/>
      <c r="D225" s="1"/>
      <c r="E225" s="53"/>
    </row>
    <row r="226" spans="1:5">
      <c r="A226" s="36"/>
      <c r="B226" s="1"/>
      <c r="C226" s="1"/>
      <c r="D226" s="1"/>
      <c r="E226" s="53"/>
    </row>
    <row r="227" spans="1:5">
      <c r="A227" s="36"/>
      <c r="B227" s="1"/>
      <c r="C227" s="1"/>
      <c r="D227" s="1"/>
      <c r="E227" s="53"/>
    </row>
    <row r="228" spans="1:5">
      <c r="A228" s="36"/>
      <c r="B228" s="1"/>
      <c r="C228" s="1"/>
      <c r="D228" s="1"/>
      <c r="E228" s="53"/>
    </row>
    <row r="229" spans="1:5">
      <c r="A229" s="36"/>
      <c r="B229" s="1"/>
      <c r="C229" s="1"/>
      <c r="D229" s="1"/>
      <c r="E229" s="53"/>
    </row>
    <row r="230" spans="1:5">
      <c r="A230" s="36"/>
      <c r="B230" s="1"/>
      <c r="C230" s="1"/>
      <c r="D230" s="1"/>
      <c r="E230" s="53"/>
    </row>
    <row r="231" spans="1:5">
      <c r="A231" s="36"/>
      <c r="B231" s="1"/>
      <c r="C231" s="1"/>
      <c r="D231" s="1"/>
      <c r="E231" s="53"/>
    </row>
    <row r="232" spans="1:5">
      <c r="A232" s="36"/>
      <c r="B232" s="1"/>
      <c r="C232" s="1"/>
      <c r="D232" s="1"/>
      <c r="E232" s="53"/>
    </row>
    <row r="233" spans="1:5">
      <c r="A233" s="36"/>
      <c r="B233" s="1"/>
      <c r="C233" s="1"/>
      <c r="D233" s="1"/>
      <c r="E233" s="53"/>
    </row>
    <row r="234" spans="1:5">
      <c r="A234" s="36"/>
      <c r="B234" s="1"/>
      <c r="C234" s="1"/>
      <c r="D234" s="1"/>
      <c r="E234" s="53"/>
    </row>
    <row r="235" spans="1:5">
      <c r="A235" s="36"/>
      <c r="B235" s="1"/>
      <c r="C235" s="1"/>
      <c r="D235" s="1"/>
      <c r="E235" s="53"/>
    </row>
    <row r="236" spans="1:5">
      <c r="A236" s="36"/>
      <c r="B236" s="1"/>
      <c r="C236" s="1"/>
      <c r="D236" s="1"/>
      <c r="E236" s="53"/>
    </row>
    <row r="237" spans="1:5">
      <c r="A237" s="36"/>
      <c r="B237" s="1"/>
      <c r="C237" s="1"/>
      <c r="D237" s="1"/>
      <c r="E237" s="53"/>
    </row>
    <row r="238" spans="1:5">
      <c r="A238" s="36"/>
      <c r="B238" s="1"/>
      <c r="C238" s="1"/>
      <c r="D238" s="1"/>
      <c r="E238" s="53"/>
    </row>
    <row r="239" spans="1:5">
      <c r="A239" s="36"/>
      <c r="B239" s="1"/>
      <c r="C239" s="1"/>
      <c r="D239" s="1"/>
      <c r="E239" s="53"/>
    </row>
    <row r="240" spans="1:5">
      <c r="A240" s="36"/>
      <c r="B240" s="1"/>
      <c r="C240" s="1"/>
      <c r="D240" s="1"/>
      <c r="E240" s="53"/>
    </row>
    <row r="241" spans="1:5">
      <c r="A241" s="36"/>
      <c r="B241" s="1"/>
      <c r="C241" s="1"/>
      <c r="D241" s="1"/>
      <c r="E241" s="53"/>
    </row>
    <row r="242" spans="1:5">
      <c r="A242" s="36"/>
      <c r="B242" s="1"/>
      <c r="C242" s="1"/>
      <c r="D242" s="1"/>
      <c r="E242" s="53"/>
    </row>
    <row r="243" spans="1:5">
      <c r="A243" s="36"/>
      <c r="B243" s="1"/>
      <c r="C243" s="1"/>
      <c r="D243" s="1"/>
      <c r="E243" s="53"/>
    </row>
    <row r="244" spans="1:5">
      <c r="A244" s="36"/>
      <c r="B244" s="1"/>
      <c r="C244" s="1"/>
      <c r="D244" s="1"/>
      <c r="E244" s="53"/>
    </row>
    <row r="245" spans="1:5">
      <c r="A245" s="36"/>
      <c r="B245" s="1"/>
      <c r="C245" s="1"/>
      <c r="D245" s="1"/>
      <c r="E245" s="53"/>
    </row>
    <row r="246" spans="1:5">
      <c r="A246" s="36"/>
      <c r="B246" s="1"/>
      <c r="C246" s="1"/>
      <c r="D246" s="1"/>
      <c r="E246" s="53"/>
    </row>
    <row r="247" spans="1:5">
      <c r="A247" s="36"/>
      <c r="B247" s="1"/>
      <c r="C247" s="1"/>
      <c r="D247" s="1"/>
      <c r="E247" s="53"/>
    </row>
    <row r="248" spans="1:5">
      <c r="A248" s="36"/>
      <c r="B248" s="1"/>
      <c r="C248" s="1"/>
      <c r="D248" s="1"/>
      <c r="E248" s="53"/>
    </row>
    <row r="249" spans="1:5">
      <c r="A249" s="36"/>
      <c r="B249" s="1"/>
      <c r="C249" s="1"/>
      <c r="D249" s="1"/>
      <c r="E249" s="53"/>
    </row>
    <row r="250" spans="1:5">
      <c r="A250" s="36"/>
      <c r="B250" s="1"/>
      <c r="C250" s="1"/>
      <c r="D250" s="1"/>
      <c r="E250" s="53"/>
    </row>
    <row r="251" spans="1:5">
      <c r="A251" s="36"/>
      <c r="B251" s="1"/>
      <c r="C251" s="1"/>
      <c r="D251" s="1"/>
      <c r="E251" s="53"/>
    </row>
    <row r="252" spans="1:5">
      <c r="A252" s="36"/>
      <c r="B252" s="1"/>
      <c r="C252" s="1"/>
      <c r="D252" s="1"/>
      <c r="E252" s="53"/>
    </row>
    <row r="253" spans="1:5">
      <c r="A253" s="36"/>
      <c r="B253" s="1"/>
      <c r="C253" s="1"/>
      <c r="D253" s="1"/>
      <c r="E253" s="53"/>
    </row>
    <row r="254" spans="1:5">
      <c r="A254" s="36"/>
      <c r="B254" s="1"/>
      <c r="C254" s="1"/>
      <c r="D254" s="1"/>
      <c r="E254" s="53"/>
    </row>
    <row r="255" spans="1:5">
      <c r="A255" s="36"/>
      <c r="B255" s="1"/>
      <c r="C255" s="1"/>
      <c r="D255" s="1"/>
      <c r="E255" s="53"/>
    </row>
    <row r="256" spans="1:5">
      <c r="A256" s="36"/>
      <c r="B256" s="1"/>
      <c r="C256" s="1"/>
      <c r="D256" s="1"/>
      <c r="E256" s="53"/>
    </row>
    <row r="257" spans="1:5">
      <c r="A257" s="36"/>
      <c r="B257" s="1"/>
      <c r="C257" s="1"/>
      <c r="D257" s="1"/>
      <c r="E257" s="53"/>
    </row>
    <row r="258" spans="1:5">
      <c r="A258" s="36"/>
      <c r="B258" s="1"/>
      <c r="C258" s="1"/>
      <c r="D258" s="1"/>
      <c r="E258" s="53"/>
    </row>
    <row r="259" spans="1:5">
      <c r="A259" s="36"/>
      <c r="B259" s="1"/>
      <c r="C259" s="1"/>
      <c r="D259" s="1"/>
      <c r="E259" s="53"/>
    </row>
    <row r="260" spans="1:5">
      <c r="A260" s="36"/>
      <c r="B260" s="1"/>
      <c r="C260" s="1"/>
      <c r="D260" s="1"/>
      <c r="E260" s="53"/>
    </row>
    <row r="261" spans="1:5">
      <c r="A261" s="36"/>
      <c r="B261" s="1"/>
      <c r="C261" s="1"/>
      <c r="D261" s="1"/>
      <c r="E261" s="53"/>
    </row>
    <row r="262" spans="1:5">
      <c r="A262" s="36"/>
      <c r="B262" s="1"/>
      <c r="C262" s="1"/>
      <c r="D262" s="1"/>
      <c r="E262" s="53"/>
    </row>
    <row r="263" spans="1:5">
      <c r="A263" s="36"/>
      <c r="B263" s="1"/>
      <c r="C263" s="1"/>
      <c r="D263" s="1"/>
      <c r="E263" s="53"/>
    </row>
    <row r="264" spans="1:5">
      <c r="A264" s="36"/>
      <c r="B264" s="1"/>
      <c r="C264" s="1"/>
      <c r="D264" s="1"/>
      <c r="E264" s="53"/>
    </row>
    <row r="265" spans="1:5">
      <c r="A265" s="36"/>
      <c r="B265" s="1"/>
      <c r="C265" s="1"/>
      <c r="D265" s="1"/>
      <c r="E265" s="53"/>
    </row>
    <row r="266" spans="1:5">
      <c r="A266" s="36"/>
      <c r="B266" s="1"/>
      <c r="C266" s="1"/>
      <c r="D266" s="1"/>
      <c r="E266" s="53"/>
    </row>
    <row r="267" spans="1:5">
      <c r="A267" s="36"/>
      <c r="B267" s="1"/>
      <c r="C267" s="1"/>
      <c r="D267" s="1"/>
      <c r="E267" s="53"/>
    </row>
    <row r="268" spans="1:5">
      <c r="A268" s="36"/>
      <c r="B268" s="1"/>
      <c r="C268" s="1"/>
      <c r="D268" s="1"/>
      <c r="E268" s="53"/>
    </row>
    <row r="269" spans="1:5">
      <c r="A269" s="36"/>
      <c r="B269" s="1"/>
      <c r="C269" s="1"/>
      <c r="D269" s="1"/>
      <c r="E269" s="53"/>
    </row>
    <row r="270" spans="1:5">
      <c r="A270" s="36"/>
      <c r="B270" s="1"/>
      <c r="C270" s="1"/>
      <c r="D270" s="1"/>
      <c r="E270" s="53"/>
    </row>
    <row r="271" spans="1:5">
      <c r="A271" s="36"/>
      <c r="B271" s="1"/>
      <c r="C271" s="1"/>
      <c r="D271" s="1"/>
      <c r="E271" s="53"/>
    </row>
    <row r="272" spans="1:5">
      <c r="A272" s="36"/>
      <c r="B272" s="1"/>
      <c r="C272" s="1"/>
      <c r="D272" s="1"/>
      <c r="E272" s="53"/>
    </row>
    <row r="273" spans="1:5">
      <c r="A273" s="36"/>
      <c r="B273" s="1"/>
      <c r="C273" s="1"/>
      <c r="D273" s="1"/>
      <c r="E273" s="53"/>
    </row>
    <row r="274" spans="1:5">
      <c r="A274" s="36"/>
      <c r="B274" s="1"/>
      <c r="C274" s="1"/>
      <c r="D274" s="1"/>
      <c r="E274" s="53"/>
    </row>
    <row r="275" spans="1:5">
      <c r="A275" s="36"/>
      <c r="B275" s="1"/>
      <c r="C275" s="1"/>
      <c r="D275" s="1"/>
      <c r="E275" s="53"/>
    </row>
    <row r="276" spans="1:5">
      <c r="A276" s="36"/>
      <c r="B276" s="1"/>
      <c r="C276" s="1"/>
      <c r="D276" s="1"/>
      <c r="E276" s="53"/>
    </row>
    <row r="277" spans="1:5">
      <c r="A277" s="36"/>
      <c r="B277" s="1"/>
      <c r="C277" s="1"/>
      <c r="D277" s="1"/>
      <c r="E277" s="53"/>
    </row>
    <row r="278" spans="1:5">
      <c r="A278" s="36"/>
      <c r="B278" s="1"/>
      <c r="C278" s="1"/>
      <c r="D278" s="1"/>
      <c r="E278" s="53"/>
    </row>
    <row r="279" spans="1:5">
      <c r="A279" s="36"/>
      <c r="B279" s="1"/>
      <c r="C279" s="1"/>
      <c r="D279" s="1"/>
      <c r="E279" s="53"/>
    </row>
    <row r="280" spans="1:5">
      <c r="A280" s="36"/>
      <c r="B280" s="1"/>
      <c r="C280" s="1"/>
      <c r="D280" s="1"/>
      <c r="E280" s="53"/>
    </row>
    <row r="281" spans="1:5">
      <c r="A281" s="36"/>
      <c r="B281" s="1"/>
      <c r="C281" s="1"/>
      <c r="D281" s="1"/>
      <c r="E281" s="53"/>
    </row>
    <row r="282" spans="1:5">
      <c r="A282" s="36"/>
      <c r="B282" s="1"/>
      <c r="C282" s="1"/>
      <c r="D282" s="1"/>
      <c r="E282" s="53"/>
    </row>
    <row r="283" spans="1:5">
      <c r="A283" s="36"/>
      <c r="B283" s="1"/>
      <c r="C283" s="1"/>
      <c r="D283" s="1"/>
      <c r="E283" s="53"/>
    </row>
    <row r="284" spans="1:5">
      <c r="A284" s="36"/>
      <c r="B284" s="1"/>
      <c r="C284" s="1"/>
      <c r="D284" s="1"/>
      <c r="E284" s="53"/>
    </row>
    <row r="285" spans="1:5">
      <c r="A285" s="36"/>
      <c r="B285" s="1"/>
      <c r="C285" s="1"/>
      <c r="D285" s="1"/>
      <c r="E285" s="53"/>
    </row>
    <row r="286" spans="1:5">
      <c r="A286" s="36"/>
      <c r="B286" s="1"/>
      <c r="C286" s="1"/>
      <c r="D286" s="1"/>
      <c r="E286" s="53"/>
    </row>
    <row r="287" spans="1:5">
      <c r="A287" s="36"/>
      <c r="B287" s="1"/>
      <c r="C287" s="1"/>
      <c r="D287" s="1"/>
      <c r="E287" s="53"/>
    </row>
    <row r="288" spans="1:5">
      <c r="A288" s="36"/>
      <c r="B288" s="1"/>
      <c r="C288" s="1"/>
      <c r="D288" s="1"/>
      <c r="E288" s="53"/>
    </row>
    <row r="289" spans="1:5">
      <c r="A289" s="36"/>
      <c r="B289" s="1"/>
      <c r="C289" s="1"/>
      <c r="D289" s="1"/>
      <c r="E289" s="53"/>
    </row>
    <row r="290" spans="1:5">
      <c r="A290" s="36"/>
      <c r="B290" s="1"/>
      <c r="C290" s="1"/>
      <c r="D290" s="1"/>
      <c r="E290" s="53"/>
    </row>
    <row r="291" spans="1:5">
      <c r="A291" s="36"/>
      <c r="B291" s="1"/>
      <c r="C291" s="1"/>
      <c r="D291" s="1"/>
      <c r="E291" s="53"/>
    </row>
    <row r="292" spans="1:5">
      <c r="A292" s="36"/>
      <c r="B292" s="1"/>
      <c r="C292" s="1"/>
      <c r="D292" s="1"/>
      <c r="E292" s="53"/>
    </row>
    <row r="293" spans="1:5">
      <c r="A293" s="36"/>
      <c r="B293" s="1"/>
      <c r="C293" s="1"/>
      <c r="D293" s="1"/>
      <c r="E293" s="53"/>
    </row>
    <row r="294" spans="1:5">
      <c r="A294" s="36"/>
      <c r="B294" s="1"/>
      <c r="C294" s="1"/>
      <c r="D294" s="1"/>
      <c r="E294" s="53"/>
    </row>
    <row r="295" spans="1:5">
      <c r="A295" s="36"/>
      <c r="B295" s="1"/>
      <c r="C295" s="1"/>
      <c r="D295" s="1"/>
      <c r="E295" s="53"/>
    </row>
    <row r="296" spans="1:5">
      <c r="A296" s="36"/>
      <c r="B296" s="1"/>
      <c r="C296" s="1"/>
      <c r="D296" s="1"/>
      <c r="E296" s="53"/>
    </row>
    <row r="297" spans="1:5">
      <c r="A297" s="36"/>
      <c r="B297" s="1"/>
      <c r="C297" s="1"/>
      <c r="D297" s="1"/>
      <c r="E297" s="53"/>
    </row>
    <row r="298" spans="1:5">
      <c r="A298" s="36"/>
      <c r="B298" s="1"/>
      <c r="C298" s="1"/>
      <c r="D298" s="1"/>
      <c r="E298" s="53"/>
    </row>
    <row r="299" spans="1:5">
      <c r="A299" s="36"/>
      <c r="B299" s="1"/>
      <c r="C299" s="1"/>
      <c r="D299" s="1"/>
      <c r="E299" s="53"/>
    </row>
    <row r="300" spans="1:5">
      <c r="A300" s="36"/>
      <c r="B300" s="1"/>
      <c r="C300" s="1"/>
      <c r="D300" s="1"/>
      <c r="E300" s="53"/>
    </row>
    <row r="301" spans="1:5">
      <c r="A301" s="1"/>
      <c r="B301" s="1"/>
      <c r="C301" s="1"/>
      <c r="D301" s="1"/>
      <c r="E301" s="53"/>
    </row>
    <row r="303" spans="1:5">
      <c r="A303" s="24" t="s">
        <v>8</v>
      </c>
      <c r="B303" s="24" t="s">
        <v>8</v>
      </c>
    </row>
    <row r="304" spans="1:5">
      <c r="A304" s="24" t="s">
        <v>3</v>
      </c>
      <c r="B304" s="24" t="s">
        <v>100</v>
      </c>
    </row>
    <row r="305" spans="1:2">
      <c r="A305" s="24" t="s">
        <v>12</v>
      </c>
      <c r="B305" s="24" t="s">
        <v>101</v>
      </c>
    </row>
    <row r="306" spans="1:2">
      <c r="A306" s="24" t="s">
        <v>25</v>
      </c>
      <c r="B306" s="24" t="s">
        <v>102</v>
      </c>
    </row>
    <row r="307" spans="1:2">
      <c r="A307" s="24" t="s">
        <v>17</v>
      </c>
      <c r="B307" s="24" t="s">
        <v>103</v>
      </c>
    </row>
    <row r="308" spans="1:2">
      <c r="A308" s="24" t="s">
        <v>26</v>
      </c>
      <c r="B308" s="24" t="s">
        <v>104</v>
      </c>
    </row>
    <row r="309" spans="1:2">
      <c r="A309" s="24" t="s">
        <v>13</v>
      </c>
      <c r="B309" s="24" t="s">
        <v>105</v>
      </c>
    </row>
    <row r="310" spans="1:2">
      <c r="A310" s="24" t="s">
        <v>4</v>
      </c>
      <c r="B310" s="24" t="s">
        <v>106</v>
      </c>
    </row>
    <row r="311" spans="1:2">
      <c r="A311" s="24" t="s">
        <v>18</v>
      </c>
      <c r="B311" s="24" t="s">
        <v>107</v>
      </c>
    </row>
    <row r="312" spans="1:2">
      <c r="A312" s="24" t="s">
        <v>11</v>
      </c>
      <c r="B312" s="24" t="s">
        <v>108</v>
      </c>
    </row>
    <row r="313" spans="1:2">
      <c r="A313" s="24" t="s">
        <v>9</v>
      </c>
      <c r="B313" s="24" t="s">
        <v>109</v>
      </c>
    </row>
    <row r="314" spans="1:2">
      <c r="A314" s="24" t="s">
        <v>10</v>
      </c>
      <c r="B314" s="24" t="s">
        <v>110</v>
      </c>
    </row>
    <row r="315" spans="1:2">
      <c r="A315" s="24" t="s">
        <v>27</v>
      </c>
      <c r="B315" s="24" t="s">
        <v>111</v>
      </c>
    </row>
    <row r="316" spans="1:2">
      <c r="A316" s="24" t="s">
        <v>5</v>
      </c>
      <c r="B316" s="24" t="s">
        <v>112</v>
      </c>
    </row>
    <row r="317" spans="1:2">
      <c r="A317" s="24" t="s">
        <v>14</v>
      </c>
      <c r="B317" s="24"/>
    </row>
    <row r="318" spans="1:2">
      <c r="A318" s="24" t="s">
        <v>16</v>
      </c>
      <c r="B318" s="24" t="s">
        <v>3</v>
      </c>
    </row>
    <row r="319" spans="1:2">
      <c r="A319" s="24" t="s">
        <v>7</v>
      </c>
      <c r="B319" s="24" t="s">
        <v>113</v>
      </c>
    </row>
    <row r="320" spans="1:2">
      <c r="A320" s="24" t="s">
        <v>28</v>
      </c>
      <c r="B320" s="24" t="s">
        <v>114</v>
      </c>
    </row>
    <row r="321" spans="1:2">
      <c r="A321" s="24" t="s">
        <v>19</v>
      </c>
      <c r="B321" s="24" t="s">
        <v>115</v>
      </c>
    </row>
    <row r="322" spans="1:2">
      <c r="A322" s="24" t="s">
        <v>15</v>
      </c>
      <c r="B322" s="24" t="s">
        <v>116</v>
      </c>
    </row>
    <row r="323" spans="1:2">
      <c r="A323" s="24" t="s">
        <v>6</v>
      </c>
      <c r="B323" s="24" t="s">
        <v>117</v>
      </c>
    </row>
    <row r="324" spans="1:2">
      <c r="A324" s="24" t="s">
        <v>29</v>
      </c>
      <c r="B324" s="24" t="s">
        <v>118</v>
      </c>
    </row>
    <row r="325" spans="1:2">
      <c r="A325" s="24" t="s">
        <v>24</v>
      </c>
      <c r="B325" s="24" t="s">
        <v>119</v>
      </c>
    </row>
    <row r="326" spans="1:2">
      <c r="A326" s="24" t="s">
        <v>2</v>
      </c>
      <c r="B326" s="24" t="s">
        <v>120</v>
      </c>
    </row>
    <row r="327" spans="1:2">
      <c r="A327" s="24" t="s">
        <v>20</v>
      </c>
      <c r="B327" s="24" t="s">
        <v>121</v>
      </c>
    </row>
    <row r="328" spans="1:2">
      <c r="B328" s="24" t="s">
        <v>122</v>
      </c>
    </row>
    <row r="329" spans="1:2">
      <c r="B329" s="24" t="s">
        <v>123</v>
      </c>
    </row>
    <row r="330" spans="1:2">
      <c r="B330" s="24" t="s">
        <v>124</v>
      </c>
    </row>
    <row r="331" spans="1:2">
      <c r="B331" s="24" t="s">
        <v>125</v>
      </c>
    </row>
    <row r="332" spans="1:2">
      <c r="B332" s="24" t="s">
        <v>126</v>
      </c>
    </row>
    <row r="333" spans="1:2">
      <c r="B333" s="24" t="s">
        <v>127</v>
      </c>
    </row>
    <row r="334" spans="1:2">
      <c r="B334" s="24" t="s">
        <v>128</v>
      </c>
    </row>
    <row r="335" spans="1:2">
      <c r="B335" s="24" t="s">
        <v>129</v>
      </c>
    </row>
    <row r="336" spans="1:2">
      <c r="B336" s="24"/>
    </row>
    <row r="337" spans="2:2">
      <c r="B337" s="24" t="s">
        <v>12</v>
      </c>
    </row>
    <row r="338" spans="2:2">
      <c r="B338" s="24" t="s">
        <v>130</v>
      </c>
    </row>
    <row r="339" spans="2:2">
      <c r="B339" s="24" t="s">
        <v>131</v>
      </c>
    </row>
    <row r="340" spans="2:2">
      <c r="B340" s="24" t="s">
        <v>132</v>
      </c>
    </row>
    <row r="341" spans="2:2">
      <c r="B341" s="24" t="s">
        <v>133</v>
      </c>
    </row>
    <row r="342" spans="2:2">
      <c r="B342" s="24" t="s">
        <v>134</v>
      </c>
    </row>
    <row r="343" spans="2:2">
      <c r="B343" s="24" t="s">
        <v>135</v>
      </c>
    </row>
    <row r="344" spans="2:2">
      <c r="B344" s="24" t="s">
        <v>136</v>
      </c>
    </row>
    <row r="345" spans="2:2">
      <c r="B345" s="24" t="s">
        <v>137</v>
      </c>
    </row>
    <row r="346" spans="2:2">
      <c r="B346" s="24" t="s">
        <v>138</v>
      </c>
    </row>
    <row r="347" spans="2:2">
      <c r="B347" s="24"/>
    </row>
    <row r="348" spans="2:2">
      <c r="B348" s="24" t="s">
        <v>25</v>
      </c>
    </row>
    <row r="349" spans="2:2">
      <c r="B349" s="24" t="s">
        <v>139</v>
      </c>
    </row>
    <row r="350" spans="2:2">
      <c r="B350" s="24" t="s">
        <v>140</v>
      </c>
    </row>
    <row r="351" spans="2:2">
      <c r="B351" s="24" t="s">
        <v>141</v>
      </c>
    </row>
    <row r="352" spans="2:2">
      <c r="B352" s="24" t="s">
        <v>142</v>
      </c>
    </row>
    <row r="353" spans="2:2">
      <c r="B353" s="24" t="s">
        <v>143</v>
      </c>
    </row>
    <row r="354" spans="2:2">
      <c r="B354" s="24" t="s">
        <v>144</v>
      </c>
    </row>
    <row r="355" spans="2:2">
      <c r="B355" s="24" t="s">
        <v>145</v>
      </c>
    </row>
    <row r="356" spans="2:2">
      <c r="B356" s="24" t="s">
        <v>146</v>
      </c>
    </row>
    <row r="357" spans="2:2">
      <c r="B357" s="24" t="s">
        <v>147</v>
      </c>
    </row>
    <row r="358" spans="2:2">
      <c r="B358" s="24" t="s">
        <v>148</v>
      </c>
    </row>
    <row r="359" spans="2:2">
      <c r="B359" s="24" t="s">
        <v>149</v>
      </c>
    </row>
    <row r="360" spans="2:2">
      <c r="B360" s="24"/>
    </row>
    <row r="361" spans="2:2">
      <c r="B361" s="24" t="s">
        <v>17</v>
      </c>
    </row>
    <row r="362" spans="2:2">
      <c r="B362" s="24" t="s">
        <v>150</v>
      </c>
    </row>
    <row r="363" spans="2:2">
      <c r="B363" s="24" t="s">
        <v>151</v>
      </c>
    </row>
    <row r="364" spans="2:2">
      <c r="B364" s="24" t="s">
        <v>152</v>
      </c>
    </row>
    <row r="365" spans="2:2">
      <c r="B365" s="24" t="s">
        <v>153</v>
      </c>
    </row>
    <row r="366" spans="2:2">
      <c r="B366" s="24" t="s">
        <v>154</v>
      </c>
    </row>
    <row r="367" spans="2:2">
      <c r="B367" s="24" t="s">
        <v>155</v>
      </c>
    </row>
    <row r="368" spans="2:2">
      <c r="B368" s="24" t="s">
        <v>156</v>
      </c>
    </row>
    <row r="369" spans="2:2">
      <c r="B369" s="24" t="s">
        <v>157</v>
      </c>
    </row>
    <row r="370" spans="2:2">
      <c r="B370" s="24"/>
    </row>
    <row r="371" spans="2:2">
      <c r="B371" s="24" t="s">
        <v>26</v>
      </c>
    </row>
    <row r="372" spans="2:2">
      <c r="B372" s="24" t="s">
        <v>158</v>
      </c>
    </row>
    <row r="373" spans="2:2">
      <c r="B373" s="24" t="s">
        <v>159</v>
      </c>
    </row>
    <row r="374" spans="2:2">
      <c r="B374" s="24" t="s">
        <v>160</v>
      </c>
    </row>
    <row r="375" spans="2:2">
      <c r="B375" s="24" t="s">
        <v>161</v>
      </c>
    </row>
    <row r="376" spans="2:2">
      <c r="B376" s="24" t="s">
        <v>162</v>
      </c>
    </row>
    <row r="377" spans="2:2">
      <c r="B377" s="24" t="s">
        <v>163</v>
      </c>
    </row>
    <row r="378" spans="2:2">
      <c r="B378" s="24" t="s">
        <v>164</v>
      </c>
    </row>
    <row r="379" spans="2:2">
      <c r="B379" s="24" t="s">
        <v>165</v>
      </c>
    </row>
    <row r="380" spans="2:2">
      <c r="B380" s="24" t="s">
        <v>166</v>
      </c>
    </row>
    <row r="381" spans="2:2">
      <c r="B381" s="24" t="s">
        <v>167</v>
      </c>
    </row>
    <row r="382" spans="2:2">
      <c r="B382" s="24"/>
    </row>
    <row r="383" spans="2:2">
      <c r="B383" s="24" t="s">
        <v>13</v>
      </c>
    </row>
    <row r="384" spans="2:2">
      <c r="B384" s="24" t="s">
        <v>168</v>
      </c>
    </row>
    <row r="385" spans="2:2">
      <c r="B385" s="24" t="s">
        <v>169</v>
      </c>
    </row>
    <row r="386" spans="2:2">
      <c r="B386" s="24" t="s">
        <v>170</v>
      </c>
    </row>
    <row r="387" spans="2:2">
      <c r="B387" s="24" t="s">
        <v>171</v>
      </c>
    </row>
    <row r="388" spans="2:2">
      <c r="B388" s="24" t="s">
        <v>172</v>
      </c>
    </row>
    <row r="389" spans="2:2">
      <c r="B389" s="24" t="s">
        <v>173</v>
      </c>
    </row>
    <row r="390" spans="2:2">
      <c r="B390" s="24" t="s">
        <v>174</v>
      </c>
    </row>
    <row r="391" spans="2:2">
      <c r="B391" s="24" t="s">
        <v>175</v>
      </c>
    </row>
    <row r="392" spans="2:2">
      <c r="B392" s="24" t="s">
        <v>176</v>
      </c>
    </row>
    <row r="393" spans="2:2">
      <c r="B393" s="24"/>
    </row>
    <row r="394" spans="2:2">
      <c r="B394" s="24" t="s">
        <v>4</v>
      </c>
    </row>
    <row r="395" spans="2:2">
      <c r="B395" s="24" t="s">
        <v>177</v>
      </c>
    </row>
    <row r="396" spans="2:2">
      <c r="B396" s="24" t="s">
        <v>178</v>
      </c>
    </row>
    <row r="397" spans="2:2">
      <c r="B397" s="24" t="s">
        <v>179</v>
      </c>
    </row>
    <row r="398" spans="2:2">
      <c r="B398" s="24" t="s">
        <v>180</v>
      </c>
    </row>
    <row r="399" spans="2:2">
      <c r="B399" s="24" t="s">
        <v>181</v>
      </c>
    </row>
    <row r="400" spans="2:2">
      <c r="B400" s="24" t="s">
        <v>182</v>
      </c>
    </row>
    <row r="401" spans="2:2">
      <c r="B401" s="24" t="s">
        <v>183</v>
      </c>
    </row>
    <row r="402" spans="2:2">
      <c r="B402" s="24" t="s">
        <v>184</v>
      </c>
    </row>
    <row r="403" spans="2:2">
      <c r="B403" s="24" t="s">
        <v>185</v>
      </c>
    </row>
    <row r="404" spans="2:2">
      <c r="B404" s="24" t="s">
        <v>186</v>
      </c>
    </row>
    <row r="405" spans="2:2">
      <c r="B405" s="24" t="s">
        <v>187</v>
      </c>
    </row>
    <row r="406" spans="2:2">
      <c r="B406" s="24" t="s">
        <v>188</v>
      </c>
    </row>
    <row r="407" spans="2:2">
      <c r="B407" s="24" t="s">
        <v>189</v>
      </c>
    </row>
    <row r="408" spans="2:2">
      <c r="B408" s="24"/>
    </row>
    <row r="409" spans="2:2">
      <c r="B409" s="24" t="s">
        <v>18</v>
      </c>
    </row>
    <row r="410" spans="2:2">
      <c r="B410" s="24" t="s">
        <v>190</v>
      </c>
    </row>
    <row r="411" spans="2:2">
      <c r="B411" s="24" t="s">
        <v>191</v>
      </c>
    </row>
    <row r="412" spans="2:2">
      <c r="B412" s="24" t="s">
        <v>192</v>
      </c>
    </row>
    <row r="413" spans="2:2">
      <c r="B413" s="24" t="s">
        <v>193</v>
      </c>
    </row>
    <row r="414" spans="2:2">
      <c r="B414" s="24" t="s">
        <v>194</v>
      </c>
    </row>
    <row r="415" spans="2:2">
      <c r="B415" s="24" t="s">
        <v>195</v>
      </c>
    </row>
    <row r="416" spans="2:2">
      <c r="B416" s="24" t="s">
        <v>196</v>
      </c>
    </row>
    <row r="417" spans="2:2">
      <c r="B417" s="24" t="s">
        <v>197</v>
      </c>
    </row>
    <row r="418" spans="2:2">
      <c r="B418" s="24" t="s">
        <v>198</v>
      </c>
    </row>
    <row r="419" spans="2:2">
      <c r="B419" s="24" t="s">
        <v>199</v>
      </c>
    </row>
    <row r="420" spans="2:2">
      <c r="B420" s="24"/>
    </row>
    <row r="421" spans="2:2">
      <c r="B421" s="24" t="s">
        <v>11</v>
      </c>
    </row>
    <row r="422" spans="2:2">
      <c r="B422" s="24" t="s">
        <v>200</v>
      </c>
    </row>
    <row r="423" spans="2:2">
      <c r="B423" s="24" t="s">
        <v>201</v>
      </c>
    </row>
    <row r="424" spans="2:2">
      <c r="B424" s="24" t="s">
        <v>202</v>
      </c>
    </row>
    <row r="425" spans="2:2">
      <c r="B425" s="24" t="s">
        <v>203</v>
      </c>
    </row>
    <row r="426" spans="2:2">
      <c r="B426" s="24" t="s">
        <v>204</v>
      </c>
    </row>
    <row r="427" spans="2:2">
      <c r="B427" s="24" t="s">
        <v>205</v>
      </c>
    </row>
    <row r="428" spans="2:2">
      <c r="B428" s="24" t="s">
        <v>206</v>
      </c>
    </row>
    <row r="429" spans="2:2">
      <c r="B429" s="24"/>
    </row>
    <row r="430" spans="2:2">
      <c r="B430" s="24" t="s">
        <v>9</v>
      </c>
    </row>
    <row r="431" spans="2:2">
      <c r="B431" s="24" t="s">
        <v>207</v>
      </c>
    </row>
    <row r="432" spans="2:2">
      <c r="B432" s="24" t="s">
        <v>208</v>
      </c>
    </row>
    <row r="433" spans="2:2">
      <c r="B433" s="24" t="s">
        <v>209</v>
      </c>
    </row>
    <row r="434" spans="2:2">
      <c r="B434" s="24" t="s">
        <v>210</v>
      </c>
    </row>
    <row r="435" spans="2:2">
      <c r="B435" s="24" t="s">
        <v>211</v>
      </c>
    </row>
    <row r="436" spans="2:2">
      <c r="B436" s="24" t="s">
        <v>212</v>
      </c>
    </row>
    <row r="437" spans="2:2">
      <c r="B437" s="24"/>
    </row>
    <row r="438" spans="2:2">
      <c r="B438" s="24" t="s">
        <v>10</v>
      </c>
    </row>
    <row r="439" spans="2:2">
      <c r="B439" s="24" t="s">
        <v>213</v>
      </c>
    </row>
    <row r="440" spans="2:2">
      <c r="B440" s="24" t="s">
        <v>214</v>
      </c>
    </row>
    <row r="441" spans="2:2">
      <c r="B441" s="24" t="s">
        <v>215</v>
      </c>
    </row>
    <row r="442" spans="2:2">
      <c r="B442" s="24" t="s">
        <v>216</v>
      </c>
    </row>
    <row r="443" spans="2:2">
      <c r="B443" s="24" t="s">
        <v>217</v>
      </c>
    </row>
    <row r="444" spans="2:2">
      <c r="B444" s="24" t="s">
        <v>218</v>
      </c>
    </row>
    <row r="445" spans="2:2">
      <c r="B445" s="24" t="s">
        <v>219</v>
      </c>
    </row>
    <row r="446" spans="2:2">
      <c r="B446" s="24" t="s">
        <v>220</v>
      </c>
    </row>
    <row r="447" spans="2:2">
      <c r="B447" s="24" t="s">
        <v>221</v>
      </c>
    </row>
    <row r="448" spans="2:2">
      <c r="B448" s="24"/>
    </row>
    <row r="449" spans="2:2">
      <c r="B449" s="24" t="s">
        <v>27</v>
      </c>
    </row>
    <row r="450" spans="2:2">
      <c r="B450" s="24" t="s">
        <v>222</v>
      </c>
    </row>
    <row r="451" spans="2:2">
      <c r="B451" s="24" t="s">
        <v>223</v>
      </c>
    </row>
    <row r="452" spans="2:2">
      <c r="B452" s="24" t="s">
        <v>224</v>
      </c>
    </row>
    <row r="453" spans="2:2">
      <c r="B453" s="24" t="s">
        <v>21</v>
      </c>
    </row>
    <row r="454" spans="2:2">
      <c r="B454" s="24" t="s">
        <v>225</v>
      </c>
    </row>
    <row r="455" spans="2:2">
      <c r="B455" s="24" t="s">
        <v>226</v>
      </c>
    </row>
    <row r="456" spans="2:2">
      <c r="B456" s="24"/>
    </row>
    <row r="457" spans="2:2">
      <c r="B457" s="24" t="s">
        <v>5</v>
      </c>
    </row>
    <row r="458" spans="2:2">
      <c r="B458" s="24" t="s">
        <v>227</v>
      </c>
    </row>
    <row r="459" spans="2:2">
      <c r="B459" s="24" t="s">
        <v>228</v>
      </c>
    </row>
    <row r="460" spans="2:2">
      <c r="B460" s="24" t="s">
        <v>229</v>
      </c>
    </row>
    <row r="461" spans="2:2">
      <c r="B461" s="24" t="s">
        <v>230</v>
      </c>
    </row>
    <row r="462" spans="2:2">
      <c r="B462" s="24" t="s">
        <v>231</v>
      </c>
    </row>
    <row r="463" spans="2:2">
      <c r="B463" s="24" t="s">
        <v>232</v>
      </c>
    </row>
    <row r="464" spans="2:2">
      <c r="B464" s="24" t="s">
        <v>233</v>
      </c>
    </row>
    <row r="465" spans="2:2">
      <c r="B465" s="24" t="s">
        <v>234</v>
      </c>
    </row>
    <row r="466" spans="2:2">
      <c r="B466" s="24" t="s">
        <v>235</v>
      </c>
    </row>
    <row r="467" spans="2:2">
      <c r="B467" s="24" t="s">
        <v>236</v>
      </c>
    </row>
    <row r="468" spans="2:2">
      <c r="B468" s="24" t="s">
        <v>237</v>
      </c>
    </row>
    <row r="469" spans="2:2">
      <c r="B469" s="24" t="s">
        <v>238</v>
      </c>
    </row>
    <row r="470" spans="2:2">
      <c r="B470" s="24" t="s">
        <v>239</v>
      </c>
    </row>
    <row r="471" spans="2:2">
      <c r="B471" s="24" t="s">
        <v>240</v>
      </c>
    </row>
    <row r="472" spans="2:2">
      <c r="B472" s="24" t="s">
        <v>241</v>
      </c>
    </row>
    <row r="473" spans="2:2">
      <c r="B473" s="24" t="s">
        <v>242</v>
      </c>
    </row>
    <row r="474" spans="2:2">
      <c r="B474" s="24" t="s">
        <v>243</v>
      </c>
    </row>
    <row r="475" spans="2:2">
      <c r="B475" s="24"/>
    </row>
    <row r="476" spans="2:2">
      <c r="B476" s="24" t="s">
        <v>14</v>
      </c>
    </row>
    <row r="477" spans="2:2">
      <c r="B477" s="24" t="s">
        <v>244</v>
      </c>
    </row>
    <row r="478" spans="2:2">
      <c r="B478" s="24" t="s">
        <v>245</v>
      </c>
    </row>
    <row r="479" spans="2:2">
      <c r="B479" s="24" t="s">
        <v>246</v>
      </c>
    </row>
    <row r="480" spans="2:2">
      <c r="B480" s="24" t="s">
        <v>247</v>
      </c>
    </row>
    <row r="481" spans="2:2">
      <c r="B481" s="24" t="s">
        <v>248</v>
      </c>
    </row>
    <row r="482" spans="2:2">
      <c r="B482" s="24" t="s">
        <v>249</v>
      </c>
    </row>
    <row r="483" spans="2:2">
      <c r="B483" s="24" t="s">
        <v>250</v>
      </c>
    </row>
    <row r="484" spans="2:2">
      <c r="B484" s="24" t="s">
        <v>251</v>
      </c>
    </row>
    <row r="485" spans="2:2">
      <c r="B485" s="24" t="s">
        <v>252</v>
      </c>
    </row>
    <row r="486" spans="2:2">
      <c r="B486" s="24"/>
    </row>
    <row r="487" spans="2:2">
      <c r="B487" s="24" t="s">
        <v>16</v>
      </c>
    </row>
    <row r="488" spans="2:2">
      <c r="B488" s="24" t="s">
        <v>253</v>
      </c>
    </row>
    <row r="489" spans="2:2">
      <c r="B489" s="24" t="s">
        <v>254</v>
      </c>
    </row>
    <row r="490" spans="2:2">
      <c r="B490" s="24" t="s">
        <v>255</v>
      </c>
    </row>
    <row r="491" spans="2:2">
      <c r="B491" s="24" t="s">
        <v>256</v>
      </c>
    </row>
    <row r="492" spans="2:2">
      <c r="B492" s="24" t="s">
        <v>257</v>
      </c>
    </row>
    <row r="493" spans="2:2">
      <c r="B493" s="24" t="s">
        <v>258</v>
      </c>
    </row>
    <row r="494" spans="2:2">
      <c r="B494" s="24" t="s">
        <v>259</v>
      </c>
    </row>
    <row r="495" spans="2:2">
      <c r="B495" s="24" t="s">
        <v>260</v>
      </c>
    </row>
    <row r="496" spans="2:2">
      <c r="B496" s="24"/>
    </row>
    <row r="497" spans="2:2">
      <c r="B497" s="24" t="s">
        <v>7</v>
      </c>
    </row>
    <row r="498" spans="2:2">
      <c r="B498" s="24" t="s">
        <v>261</v>
      </c>
    </row>
    <row r="499" spans="2:2">
      <c r="B499" s="24" t="s">
        <v>262</v>
      </c>
    </row>
    <row r="500" spans="2:2">
      <c r="B500" s="24" t="s">
        <v>263</v>
      </c>
    </row>
    <row r="501" spans="2:2">
      <c r="B501" s="24" t="s">
        <v>264</v>
      </c>
    </row>
    <row r="502" spans="2:2">
      <c r="B502" s="24" t="s">
        <v>265</v>
      </c>
    </row>
    <row r="503" spans="2:2">
      <c r="B503" s="24" t="s">
        <v>266</v>
      </c>
    </row>
    <row r="504" spans="2:2">
      <c r="B504" s="24" t="s">
        <v>267</v>
      </c>
    </row>
    <row r="505" spans="2:2">
      <c r="B505" s="24" t="s">
        <v>268</v>
      </c>
    </row>
    <row r="506" spans="2:2">
      <c r="B506" s="24" t="s">
        <v>269</v>
      </c>
    </row>
    <row r="507" spans="2:2">
      <c r="B507" s="24" t="s">
        <v>270</v>
      </c>
    </row>
    <row r="508" spans="2:2">
      <c r="B508" s="24" t="s">
        <v>271</v>
      </c>
    </row>
    <row r="509" spans="2:2">
      <c r="B509" s="24" t="s">
        <v>272</v>
      </c>
    </row>
    <row r="510" spans="2:2">
      <c r="B510" s="24"/>
    </row>
    <row r="511" spans="2:2">
      <c r="B511" s="24" t="s">
        <v>28</v>
      </c>
    </row>
    <row r="512" spans="2:2">
      <c r="B512" s="24" t="s">
        <v>273</v>
      </c>
    </row>
    <row r="513" spans="2:2">
      <c r="B513" s="24" t="s">
        <v>274</v>
      </c>
    </row>
    <row r="514" spans="2:2">
      <c r="B514" s="24" t="s">
        <v>275</v>
      </c>
    </row>
    <row r="515" spans="2:2">
      <c r="B515" s="24" t="s">
        <v>276</v>
      </c>
    </row>
    <row r="516" spans="2:2">
      <c r="B516" s="24" t="s">
        <v>277</v>
      </c>
    </row>
    <row r="517" spans="2:2">
      <c r="B517" s="24" t="s">
        <v>278</v>
      </c>
    </row>
    <row r="518" spans="2:2">
      <c r="B518" s="24" t="s">
        <v>279</v>
      </c>
    </row>
    <row r="519" spans="2:2">
      <c r="B519" s="24" t="s">
        <v>280</v>
      </c>
    </row>
    <row r="520" spans="2:2">
      <c r="B520" s="24" t="s">
        <v>281</v>
      </c>
    </row>
    <row r="521" spans="2:2">
      <c r="B521" s="24"/>
    </row>
    <row r="522" spans="2:2">
      <c r="B522" s="24" t="s">
        <v>19</v>
      </c>
    </row>
    <row r="523" spans="2:2">
      <c r="B523" s="24" t="s">
        <v>282</v>
      </c>
    </row>
    <row r="524" spans="2:2">
      <c r="B524" s="24" t="s">
        <v>283</v>
      </c>
    </row>
    <row r="525" spans="2:2">
      <c r="B525" s="24" t="s">
        <v>284</v>
      </c>
    </row>
    <row r="526" spans="2:2">
      <c r="B526" s="24" t="s">
        <v>285</v>
      </c>
    </row>
    <row r="527" spans="2:2">
      <c r="B527" s="24" t="s">
        <v>286</v>
      </c>
    </row>
    <row r="528" spans="2:2">
      <c r="B528" s="24" t="s">
        <v>287</v>
      </c>
    </row>
    <row r="529" spans="2:2">
      <c r="B529" s="24" t="s">
        <v>288</v>
      </c>
    </row>
    <row r="530" spans="2:2">
      <c r="B530" s="24" t="s">
        <v>289</v>
      </c>
    </row>
    <row r="531" spans="2:2">
      <c r="B531" s="24"/>
    </row>
    <row r="532" spans="2:2">
      <c r="B532" s="24" t="s">
        <v>15</v>
      </c>
    </row>
    <row r="533" spans="2:2">
      <c r="B533" s="24" t="s">
        <v>290</v>
      </c>
    </row>
    <row r="534" spans="2:2">
      <c r="B534" s="24" t="s">
        <v>291</v>
      </c>
    </row>
    <row r="535" spans="2:2">
      <c r="B535" s="24" t="s">
        <v>292</v>
      </c>
    </row>
    <row r="536" spans="2:2">
      <c r="B536" s="24" t="s">
        <v>293</v>
      </c>
    </row>
    <row r="537" spans="2:2">
      <c r="B537" s="24" t="s">
        <v>294</v>
      </c>
    </row>
    <row r="538" spans="2:2">
      <c r="B538" s="24" t="s">
        <v>295</v>
      </c>
    </row>
    <row r="539" spans="2:2">
      <c r="B539" s="24" t="s">
        <v>296</v>
      </c>
    </row>
    <row r="540" spans="2:2">
      <c r="B540" s="24" t="s">
        <v>297</v>
      </c>
    </row>
    <row r="541" spans="2:2">
      <c r="B541" s="24" t="s">
        <v>298</v>
      </c>
    </row>
    <row r="542" spans="2:2">
      <c r="B542" s="24" t="s">
        <v>299</v>
      </c>
    </row>
    <row r="543" spans="2:2">
      <c r="B543" s="24" t="s">
        <v>300</v>
      </c>
    </row>
    <row r="544" spans="2:2">
      <c r="B544" s="24" t="s">
        <v>301</v>
      </c>
    </row>
    <row r="545" spans="2:2">
      <c r="B545" s="24"/>
    </row>
    <row r="546" spans="2:2">
      <c r="B546" s="24" t="s">
        <v>6</v>
      </c>
    </row>
    <row r="547" spans="2:2">
      <c r="B547" s="24" t="s">
        <v>302</v>
      </c>
    </row>
    <row r="548" spans="2:2">
      <c r="B548" s="24" t="s">
        <v>303</v>
      </c>
    </row>
    <row r="549" spans="2:2">
      <c r="B549" s="24" t="s">
        <v>304</v>
      </c>
    </row>
    <row r="550" spans="2:2">
      <c r="B550" s="24" t="s">
        <v>305</v>
      </c>
    </row>
    <row r="551" spans="2:2">
      <c r="B551" s="24" t="s">
        <v>306</v>
      </c>
    </row>
    <row r="552" spans="2:2">
      <c r="B552" s="24" t="s">
        <v>307</v>
      </c>
    </row>
    <row r="553" spans="2:2">
      <c r="B553" s="24" t="s">
        <v>308</v>
      </c>
    </row>
    <row r="554" spans="2:2">
      <c r="B554" s="24" t="s">
        <v>309</v>
      </c>
    </row>
    <row r="555" spans="2:2">
      <c r="B555" s="24" t="s">
        <v>310</v>
      </c>
    </row>
    <row r="556" spans="2:2">
      <c r="B556" s="24" t="s">
        <v>311</v>
      </c>
    </row>
    <row r="557" spans="2:2">
      <c r="B557" s="24" t="s">
        <v>312</v>
      </c>
    </row>
    <row r="558" spans="2:2">
      <c r="B558" s="24" t="s">
        <v>313</v>
      </c>
    </row>
    <row r="559" spans="2:2">
      <c r="B559" s="24" t="s">
        <v>314</v>
      </c>
    </row>
    <row r="560" spans="2:2">
      <c r="B560" s="24" t="s">
        <v>315</v>
      </c>
    </row>
    <row r="561" spans="2:2">
      <c r="B561" s="24" t="s">
        <v>316</v>
      </c>
    </row>
    <row r="562" spans="2:2">
      <c r="B562" s="24"/>
    </row>
    <row r="563" spans="2:2">
      <c r="B563" s="24" t="s">
        <v>29</v>
      </c>
    </row>
    <row r="564" spans="2:2">
      <c r="B564" s="24" t="s">
        <v>317</v>
      </c>
    </row>
    <row r="565" spans="2:2">
      <c r="B565" s="24" t="s">
        <v>318</v>
      </c>
    </row>
    <row r="566" spans="2:2">
      <c r="B566" s="24" t="s">
        <v>319</v>
      </c>
    </row>
    <row r="567" spans="2:2">
      <c r="B567" s="24" t="s">
        <v>320</v>
      </c>
    </row>
    <row r="568" spans="2:2">
      <c r="B568" s="24" t="s">
        <v>321</v>
      </c>
    </row>
    <row r="569" spans="2:2">
      <c r="B569" s="24" t="s">
        <v>322</v>
      </c>
    </row>
    <row r="570" spans="2:2">
      <c r="B570" s="24" t="s">
        <v>323</v>
      </c>
    </row>
    <row r="571" spans="2:2">
      <c r="B571" s="24" t="s">
        <v>324</v>
      </c>
    </row>
    <row r="572" spans="2:2">
      <c r="B572" s="24"/>
    </row>
    <row r="573" spans="2:2">
      <c r="B573" s="24" t="s">
        <v>24</v>
      </c>
    </row>
    <row r="574" spans="2:2">
      <c r="B574" s="24" t="s">
        <v>325</v>
      </c>
    </row>
    <row r="575" spans="2:2">
      <c r="B575" s="24" t="s">
        <v>326</v>
      </c>
    </row>
    <row r="576" spans="2:2">
      <c r="B576" s="24" t="s">
        <v>327</v>
      </c>
    </row>
    <row r="577" spans="2:2">
      <c r="B577" s="24" t="s">
        <v>328</v>
      </c>
    </row>
    <row r="578" spans="2:2">
      <c r="B578" s="24" t="s">
        <v>329</v>
      </c>
    </row>
    <row r="579" spans="2:2">
      <c r="B579" s="24" t="s">
        <v>330</v>
      </c>
    </row>
    <row r="580" spans="2:2">
      <c r="B580" s="24" t="s">
        <v>331</v>
      </c>
    </row>
    <row r="581" spans="2:2">
      <c r="B581" s="24" t="s">
        <v>332</v>
      </c>
    </row>
    <row r="582" spans="2:2">
      <c r="B582" s="24"/>
    </row>
    <row r="583" spans="2:2">
      <c r="B583" s="24" t="s">
        <v>2</v>
      </c>
    </row>
    <row r="584" spans="2:2">
      <c r="B584" s="24" t="s">
        <v>333</v>
      </c>
    </row>
    <row r="585" spans="2:2">
      <c r="B585" s="24" t="s">
        <v>334</v>
      </c>
    </row>
    <row r="586" spans="2:2">
      <c r="B586" s="24" t="s">
        <v>335</v>
      </c>
    </row>
    <row r="587" spans="2:2">
      <c r="B587" s="24" t="s">
        <v>336</v>
      </c>
    </row>
    <row r="588" spans="2:2">
      <c r="B588" s="24" t="s">
        <v>337</v>
      </c>
    </row>
    <row r="589" spans="2:2">
      <c r="B589" s="24" t="s">
        <v>338</v>
      </c>
    </row>
    <row r="590" spans="2:2">
      <c r="B590" s="24" t="s">
        <v>339</v>
      </c>
    </row>
    <row r="591" spans="2:2">
      <c r="B591" s="24" t="s">
        <v>340</v>
      </c>
    </row>
    <row r="592" spans="2:2">
      <c r="B592" s="24" t="s">
        <v>341</v>
      </c>
    </row>
    <row r="593" spans="2:2">
      <c r="B593" s="24"/>
    </row>
    <row r="594" spans="2:2">
      <c r="B594" s="24" t="s">
        <v>20</v>
      </c>
    </row>
    <row r="595" spans="2:2">
      <c r="B595" s="24" t="s">
        <v>342</v>
      </c>
    </row>
    <row r="596" spans="2:2">
      <c r="B596" s="24" t="s">
        <v>343</v>
      </c>
    </row>
    <row r="597" spans="2:2">
      <c r="B597" s="24" t="s">
        <v>344</v>
      </c>
    </row>
    <row r="598" spans="2:2">
      <c r="B598" s="24" t="s">
        <v>345</v>
      </c>
    </row>
    <row r="599" spans="2:2">
      <c r="B599" s="24" t="s">
        <v>346</v>
      </c>
    </row>
    <row r="600" spans="2:2">
      <c r="B600" s="24" t="s">
        <v>347</v>
      </c>
    </row>
    <row r="601" spans="2:2">
      <c r="B601" s="24" t="s">
        <v>348</v>
      </c>
    </row>
    <row r="602" spans="2:2">
      <c r="B602" s="24" t="s">
        <v>349</v>
      </c>
    </row>
    <row r="603" spans="2:2">
      <c r="B603" s="24" t="s">
        <v>350</v>
      </c>
    </row>
    <row r="604" spans="2:2">
      <c r="B604" s="24" t="s">
        <v>351</v>
      </c>
    </row>
    <row r="605" spans="2:2">
      <c r="B605" s="24" t="s">
        <v>352</v>
      </c>
    </row>
  </sheetData>
  <phoneticPr fontId="2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E34"/>
  <sheetViews>
    <sheetView zoomScale="95" zoomScaleNormal="95" workbookViewId="0">
      <selection activeCell="B30" sqref="B30"/>
    </sheetView>
  </sheetViews>
  <sheetFormatPr defaultRowHeight="12.75"/>
  <cols>
    <col min="1" max="1" width="35.7109375" customWidth="1"/>
    <col min="2" max="4" width="35.7109375" style="33" customWidth="1"/>
  </cols>
  <sheetData>
    <row r="1" spans="1:4" ht="19.149999999999999" customHeight="1">
      <c r="A1" s="110" t="s">
        <v>76</v>
      </c>
      <c r="B1" s="111"/>
      <c r="C1" s="114" t="s">
        <v>57</v>
      </c>
      <c r="D1" s="115"/>
    </row>
    <row r="2" spans="1:4" ht="19.149999999999999" customHeight="1">
      <c r="A2" s="112"/>
      <c r="B2" s="113"/>
      <c r="C2" s="10" t="s">
        <v>56</v>
      </c>
      <c r="D2" s="6" t="s">
        <v>58</v>
      </c>
    </row>
    <row r="3" spans="1:4">
      <c r="A3" s="120" t="s">
        <v>78</v>
      </c>
      <c r="B3" s="15" t="s">
        <v>32</v>
      </c>
      <c r="C3" s="15" t="s">
        <v>33</v>
      </c>
      <c r="D3" s="15" t="s">
        <v>34</v>
      </c>
    </row>
    <row r="4" spans="1:4">
      <c r="A4" s="121"/>
      <c r="B4" s="15" t="s">
        <v>35</v>
      </c>
      <c r="C4" s="15" t="s">
        <v>36</v>
      </c>
      <c r="D4" s="15" t="s">
        <v>37</v>
      </c>
    </row>
    <row r="5" spans="1:4">
      <c r="A5" s="121"/>
      <c r="B5" s="15" t="s">
        <v>38</v>
      </c>
      <c r="C5" s="15" t="s">
        <v>39</v>
      </c>
      <c r="D5" s="15" t="s">
        <v>31</v>
      </c>
    </row>
    <row r="6" spans="1:4">
      <c r="A6" s="122" t="s">
        <v>79</v>
      </c>
      <c r="B6" s="34" t="s">
        <v>59</v>
      </c>
      <c r="C6" s="34" t="s">
        <v>68</v>
      </c>
      <c r="D6" s="116" t="s">
        <v>72</v>
      </c>
    </row>
    <row r="7" spans="1:4">
      <c r="A7" s="123"/>
      <c r="B7" s="34" t="s">
        <v>60</v>
      </c>
      <c r="C7" s="34" t="s">
        <v>69</v>
      </c>
      <c r="D7" s="117"/>
    </row>
    <row r="8" spans="1:4">
      <c r="A8" s="123"/>
      <c r="B8" s="34" t="s">
        <v>61</v>
      </c>
      <c r="C8" s="34" t="s">
        <v>68</v>
      </c>
      <c r="D8" s="116" t="s">
        <v>73</v>
      </c>
    </row>
    <row r="9" spans="1:4">
      <c r="A9" s="123"/>
      <c r="B9" s="34" t="s">
        <v>62</v>
      </c>
      <c r="C9" s="34" t="s">
        <v>69</v>
      </c>
      <c r="D9" s="117"/>
    </row>
    <row r="10" spans="1:4">
      <c r="A10" s="123"/>
      <c r="B10" s="34" t="s">
        <v>63</v>
      </c>
      <c r="C10" s="34" t="s">
        <v>40</v>
      </c>
      <c r="D10" s="116" t="s">
        <v>74</v>
      </c>
    </row>
    <row r="11" spans="1:4">
      <c r="A11" s="123"/>
      <c r="B11" s="34" t="s">
        <v>64</v>
      </c>
      <c r="C11" s="34" t="s">
        <v>41</v>
      </c>
      <c r="D11" s="117"/>
    </row>
    <row r="12" spans="1:4">
      <c r="A12" s="123"/>
      <c r="B12" s="34" t="s">
        <v>65</v>
      </c>
      <c r="C12" s="34" t="s">
        <v>40</v>
      </c>
      <c r="D12" s="116" t="s">
        <v>75</v>
      </c>
    </row>
    <row r="13" spans="1:4">
      <c r="A13" s="123"/>
      <c r="B13" s="34" t="s">
        <v>66</v>
      </c>
      <c r="C13" s="34" t="s">
        <v>41</v>
      </c>
      <c r="D13" s="117"/>
    </row>
    <row r="14" spans="1:4">
      <c r="A14" s="120" t="s">
        <v>80</v>
      </c>
      <c r="B14" s="15" t="s">
        <v>67</v>
      </c>
      <c r="C14" s="118" t="s">
        <v>42</v>
      </c>
      <c r="D14" s="118" t="s">
        <v>43</v>
      </c>
    </row>
    <row r="15" spans="1:4">
      <c r="A15" s="121"/>
      <c r="B15" s="15" t="s">
        <v>77</v>
      </c>
      <c r="C15" s="119"/>
      <c r="D15" s="119"/>
    </row>
    <row r="16" spans="1:4">
      <c r="A16" s="121"/>
      <c r="B16" s="15" t="s">
        <v>44</v>
      </c>
      <c r="C16" s="15" t="s">
        <v>45</v>
      </c>
      <c r="D16" s="15" t="s">
        <v>46</v>
      </c>
    </row>
    <row r="17" spans="1:5">
      <c r="A17" s="121"/>
      <c r="B17" s="15" t="s">
        <v>47</v>
      </c>
      <c r="C17" s="15" t="s">
        <v>48</v>
      </c>
      <c r="D17" s="15" t="s">
        <v>49</v>
      </c>
    </row>
    <row r="18" spans="1:5">
      <c r="A18" s="121"/>
      <c r="B18" s="15" t="s">
        <v>50</v>
      </c>
      <c r="C18" s="15" t="s">
        <v>51</v>
      </c>
      <c r="D18" s="15" t="s">
        <v>52</v>
      </c>
    </row>
    <row r="19" spans="1:5">
      <c r="A19" s="121"/>
      <c r="B19" s="15" t="s">
        <v>53</v>
      </c>
      <c r="C19" s="15" t="s">
        <v>54</v>
      </c>
      <c r="D19" s="15" t="s">
        <v>55</v>
      </c>
    </row>
    <row r="21" spans="1:5">
      <c r="C21" s="24" t="s">
        <v>33</v>
      </c>
      <c r="D21" s="24" t="s">
        <v>70</v>
      </c>
    </row>
    <row r="22" spans="1:5">
      <c r="C22" s="24" t="s">
        <v>36</v>
      </c>
      <c r="D22" s="24" t="s">
        <v>71</v>
      </c>
      <c r="E22" s="35"/>
    </row>
    <row r="23" spans="1:5">
      <c r="C23" s="24" t="s">
        <v>39</v>
      </c>
      <c r="D23" s="24" t="s">
        <v>72</v>
      </c>
    </row>
    <row r="24" spans="1:5">
      <c r="C24" s="24" t="s">
        <v>68</v>
      </c>
      <c r="D24" s="24" t="s">
        <v>74</v>
      </c>
    </row>
    <row r="25" spans="1:5">
      <c r="C25" s="24" t="s">
        <v>69</v>
      </c>
      <c r="D25" s="24" t="s">
        <v>37</v>
      </c>
    </row>
    <row r="26" spans="1:5">
      <c r="C26" s="24" t="s">
        <v>40</v>
      </c>
      <c r="D26" s="24" t="s">
        <v>31</v>
      </c>
    </row>
    <row r="27" spans="1:5">
      <c r="C27" s="24" t="s">
        <v>41</v>
      </c>
      <c r="D27" s="24" t="s">
        <v>73</v>
      </c>
    </row>
    <row r="28" spans="1:5">
      <c r="C28" s="24" t="s">
        <v>42</v>
      </c>
      <c r="D28" s="24" t="s">
        <v>75</v>
      </c>
    </row>
    <row r="29" spans="1:5">
      <c r="C29" s="24" t="s">
        <v>45</v>
      </c>
      <c r="D29" s="24" t="s">
        <v>81</v>
      </c>
    </row>
    <row r="30" spans="1:5">
      <c r="C30" s="24" t="s">
        <v>48</v>
      </c>
      <c r="D30" s="24" t="s">
        <v>49</v>
      </c>
    </row>
    <row r="31" spans="1:5">
      <c r="C31" s="24" t="s">
        <v>51</v>
      </c>
      <c r="D31" s="24" t="s">
        <v>82</v>
      </c>
    </row>
    <row r="32" spans="1:5">
      <c r="C32" s="24" t="s">
        <v>54</v>
      </c>
      <c r="D32" s="24" t="s">
        <v>46</v>
      </c>
    </row>
    <row r="33" spans="3:4">
      <c r="C33" s="24"/>
      <c r="D33" s="24" t="s">
        <v>83</v>
      </c>
    </row>
    <row r="34" spans="3:4">
      <c r="C34" s="24"/>
      <c r="D34" s="24" t="s">
        <v>84</v>
      </c>
    </row>
  </sheetData>
  <sheetProtection password="DE07" sheet="1" objects="1" scenarios="1"/>
  <mergeCells count="11">
    <mergeCell ref="D14:D15"/>
    <mergeCell ref="C14:C15"/>
    <mergeCell ref="A3:A5"/>
    <mergeCell ref="A6:A13"/>
    <mergeCell ref="A14:A19"/>
    <mergeCell ref="A1:B2"/>
    <mergeCell ref="C1:D1"/>
    <mergeCell ref="D12:D13"/>
    <mergeCell ref="D10:D11"/>
    <mergeCell ref="D8:D9"/>
    <mergeCell ref="D6:D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92D050"/>
  </sheetPr>
  <dimension ref="A1:I1196"/>
  <sheetViews>
    <sheetView topLeftCell="A1156" zoomScale="95" zoomScaleNormal="95" workbookViewId="0">
      <selection activeCell="C1196" sqref="C1196"/>
    </sheetView>
  </sheetViews>
  <sheetFormatPr defaultColWidth="9.140625" defaultRowHeight="12.75"/>
  <cols>
    <col min="1" max="8" width="30.7109375" style="2" customWidth="1"/>
    <col min="9" max="16384" width="9.140625" style="7"/>
  </cols>
  <sheetData>
    <row r="1" spans="1:9" ht="38.25" customHeight="1">
      <c r="A1" s="6" t="s">
        <v>369</v>
      </c>
      <c r="B1" s="10" t="s">
        <v>370</v>
      </c>
      <c r="C1" s="6" t="s">
        <v>371</v>
      </c>
      <c r="D1" s="16" t="s">
        <v>372</v>
      </c>
      <c r="E1" s="50" t="s">
        <v>365</v>
      </c>
      <c r="F1" s="47" t="s">
        <v>366</v>
      </c>
      <c r="G1" s="50" t="s">
        <v>367</v>
      </c>
      <c r="H1" s="51" t="s">
        <v>368</v>
      </c>
    </row>
    <row r="2" spans="1:9" ht="12.75" customHeight="1">
      <c r="A2" s="43">
        <v>25</v>
      </c>
      <c r="B2" s="43">
        <v>2</v>
      </c>
      <c r="C2" s="43">
        <v>50</v>
      </c>
      <c r="D2" s="43">
        <v>56</v>
      </c>
      <c r="E2" s="43">
        <f>A2/145.03773800722/0.0254</f>
        <v>6.7861784251967636</v>
      </c>
      <c r="F2" s="43">
        <f>B2*2.54</f>
        <v>5.08</v>
      </c>
      <c r="G2" s="43">
        <f>C2/0.14503773800722</f>
        <v>344.73786399999557</v>
      </c>
      <c r="H2" s="43">
        <f>D2/145.03773800722/0.0254</f>
        <v>15.20103967244075</v>
      </c>
      <c r="I2" s="42"/>
    </row>
    <row r="3" spans="1:9" ht="12.75" customHeight="1">
      <c r="A3" s="43">
        <v>25</v>
      </c>
      <c r="B3" s="43">
        <v>2</v>
      </c>
      <c r="C3" s="43">
        <v>60</v>
      </c>
      <c r="D3" s="43">
        <v>57.4</v>
      </c>
      <c r="E3" s="43">
        <f t="shared" ref="E3:E66" si="0">A3/145.03773800722/0.0254</f>
        <v>6.7861784251967636</v>
      </c>
      <c r="F3" s="43">
        <f t="shared" ref="F3:F66" si="1">B3*2.54</f>
        <v>5.08</v>
      </c>
      <c r="G3" s="43">
        <f t="shared" ref="G3:G66" si="2">C3/0.14503773800722</f>
        <v>413.6854367999947</v>
      </c>
      <c r="H3" s="43">
        <f t="shared" ref="H3:H66" si="3">D3/145.03773800722/0.0254</f>
        <v>15.581065664251767</v>
      </c>
      <c r="I3" s="42"/>
    </row>
    <row r="4" spans="1:9" ht="12.75" customHeight="1">
      <c r="A4" s="43">
        <v>25</v>
      </c>
      <c r="B4" s="43">
        <v>2</v>
      </c>
      <c r="C4" s="43">
        <v>70</v>
      </c>
      <c r="D4" s="43">
        <v>58.8</v>
      </c>
      <c r="E4" s="43">
        <f t="shared" si="0"/>
        <v>6.7861784251967636</v>
      </c>
      <c r="F4" s="43">
        <f t="shared" si="1"/>
        <v>5.08</v>
      </c>
      <c r="G4" s="43">
        <f t="shared" si="2"/>
        <v>482.63300959999384</v>
      </c>
      <c r="H4" s="43">
        <f t="shared" si="3"/>
        <v>15.961091656062788</v>
      </c>
      <c r="I4" s="42"/>
    </row>
    <row r="5" spans="1:9" ht="12.75" customHeight="1">
      <c r="A5" s="43">
        <v>25</v>
      </c>
      <c r="B5" s="43">
        <v>2</v>
      </c>
      <c r="C5" s="43">
        <v>80</v>
      </c>
      <c r="D5" s="43">
        <v>60.199999999999996</v>
      </c>
      <c r="E5" s="43">
        <f t="shared" si="0"/>
        <v>6.7861784251967636</v>
      </c>
      <c r="F5" s="43">
        <f t="shared" si="1"/>
        <v>5.08</v>
      </c>
      <c r="G5" s="43">
        <f t="shared" si="2"/>
        <v>551.58058239999298</v>
      </c>
      <c r="H5" s="43">
        <f t="shared" si="3"/>
        <v>16.341117647873805</v>
      </c>
      <c r="I5" s="42"/>
    </row>
    <row r="6" spans="1:9" ht="12.75" customHeight="1">
      <c r="A6" s="43">
        <v>25</v>
      </c>
      <c r="B6" s="43">
        <v>2</v>
      </c>
      <c r="C6" s="43">
        <v>90</v>
      </c>
      <c r="D6" s="43">
        <v>61.599999999999994</v>
      </c>
      <c r="E6" s="43">
        <f t="shared" si="0"/>
        <v>6.7861784251967636</v>
      </c>
      <c r="F6" s="43">
        <f t="shared" si="1"/>
        <v>5.08</v>
      </c>
      <c r="G6" s="43">
        <f t="shared" si="2"/>
        <v>620.52815519999206</v>
      </c>
      <c r="H6" s="43">
        <f t="shared" si="3"/>
        <v>16.721143639684826</v>
      </c>
      <c r="I6" s="42"/>
    </row>
    <row r="7" spans="1:9" ht="12.75" customHeight="1">
      <c r="A7" s="43">
        <v>25</v>
      </c>
      <c r="B7" s="43">
        <v>2</v>
      </c>
      <c r="C7" s="43">
        <v>100</v>
      </c>
      <c r="D7" s="43">
        <v>63</v>
      </c>
      <c r="E7" s="43">
        <f t="shared" si="0"/>
        <v>6.7861784251967636</v>
      </c>
      <c r="F7" s="43">
        <f t="shared" si="1"/>
        <v>5.08</v>
      </c>
      <c r="G7" s="43">
        <f t="shared" si="2"/>
        <v>689.47572799999114</v>
      </c>
      <c r="H7" s="43">
        <f t="shared" si="3"/>
        <v>17.101169631495843</v>
      </c>
      <c r="I7" s="42"/>
    </row>
    <row r="8" spans="1:9" ht="12.75" customHeight="1">
      <c r="A8" s="43">
        <v>25</v>
      </c>
      <c r="B8" s="43">
        <v>2</v>
      </c>
      <c r="C8" s="43">
        <v>150</v>
      </c>
      <c r="D8" s="43">
        <v>67.25</v>
      </c>
      <c r="E8" s="43">
        <f t="shared" si="0"/>
        <v>6.7861784251967636</v>
      </c>
      <c r="F8" s="43">
        <f t="shared" si="1"/>
        <v>5.08</v>
      </c>
      <c r="G8" s="43">
        <f t="shared" si="2"/>
        <v>1034.2135919999869</v>
      </c>
      <c r="H8" s="43">
        <f t="shared" si="3"/>
        <v>18.254819963779294</v>
      </c>
      <c r="I8" s="42"/>
    </row>
    <row r="9" spans="1:9" ht="12.75" customHeight="1">
      <c r="A9" s="43">
        <v>25</v>
      </c>
      <c r="B9" s="43">
        <v>2</v>
      </c>
      <c r="C9" s="43">
        <v>200</v>
      </c>
      <c r="D9" s="43">
        <v>71.5</v>
      </c>
      <c r="E9" s="43">
        <f t="shared" si="0"/>
        <v>6.7861784251967636</v>
      </c>
      <c r="F9" s="43">
        <f t="shared" si="1"/>
        <v>5.08</v>
      </c>
      <c r="G9" s="43">
        <f t="shared" si="2"/>
        <v>1378.9514559999823</v>
      </c>
      <c r="H9" s="43">
        <f t="shared" si="3"/>
        <v>19.408470296062742</v>
      </c>
      <c r="I9" s="42"/>
    </row>
    <row r="10" spans="1:9" ht="12.75" customHeight="1">
      <c r="A10" s="43">
        <v>25</v>
      </c>
      <c r="B10" s="43">
        <v>2</v>
      </c>
      <c r="C10" s="43">
        <v>250</v>
      </c>
      <c r="D10" s="43">
        <v>75.75</v>
      </c>
      <c r="E10" s="43">
        <f t="shared" si="0"/>
        <v>6.7861784251967636</v>
      </c>
      <c r="F10" s="43">
        <f t="shared" si="1"/>
        <v>5.08</v>
      </c>
      <c r="G10" s="43">
        <f t="shared" si="2"/>
        <v>1723.6893199999779</v>
      </c>
      <c r="H10" s="43">
        <f t="shared" si="3"/>
        <v>20.562120628346193</v>
      </c>
      <c r="I10" s="42"/>
    </row>
    <row r="11" spans="1:9" ht="12.75" customHeight="1">
      <c r="A11" s="43">
        <v>25</v>
      </c>
      <c r="B11" s="43">
        <v>2</v>
      </c>
      <c r="C11" s="43">
        <v>300</v>
      </c>
      <c r="D11" s="43">
        <v>80</v>
      </c>
      <c r="E11" s="43">
        <f t="shared" si="0"/>
        <v>6.7861784251967636</v>
      </c>
      <c r="F11" s="43">
        <f t="shared" si="1"/>
        <v>5.08</v>
      </c>
      <c r="G11" s="43">
        <f t="shared" si="2"/>
        <v>2068.4271839999737</v>
      </c>
      <c r="H11" s="43">
        <f t="shared" si="3"/>
        <v>21.715770960629641</v>
      </c>
      <c r="I11" s="42"/>
    </row>
    <row r="12" spans="1:9" ht="12.75" customHeight="1">
      <c r="A12" s="43">
        <v>25</v>
      </c>
      <c r="B12" s="43">
        <v>2</v>
      </c>
      <c r="C12" s="43">
        <v>350</v>
      </c>
      <c r="D12" s="43">
        <v>83.5</v>
      </c>
      <c r="E12" s="43">
        <f t="shared" si="0"/>
        <v>6.7861784251967636</v>
      </c>
      <c r="F12" s="43">
        <f t="shared" si="1"/>
        <v>5.08</v>
      </c>
      <c r="G12" s="43">
        <f t="shared" si="2"/>
        <v>2413.1650479999689</v>
      </c>
      <c r="H12" s="43">
        <f t="shared" si="3"/>
        <v>22.665835940157191</v>
      </c>
      <c r="I12" s="42"/>
    </row>
    <row r="13" spans="1:9" ht="12.75" customHeight="1">
      <c r="A13" s="43">
        <v>25</v>
      </c>
      <c r="B13" s="43">
        <v>2</v>
      </c>
      <c r="C13" s="43">
        <v>400</v>
      </c>
      <c r="D13" s="43">
        <v>87</v>
      </c>
      <c r="E13" s="43">
        <f t="shared" si="0"/>
        <v>6.7861784251967636</v>
      </c>
      <c r="F13" s="43">
        <f t="shared" si="1"/>
        <v>5.08</v>
      </c>
      <c r="G13" s="43">
        <f t="shared" si="2"/>
        <v>2757.9029119999645</v>
      </c>
      <c r="H13" s="43">
        <f t="shared" si="3"/>
        <v>23.615900919684737</v>
      </c>
      <c r="I13" s="42"/>
    </row>
    <row r="14" spans="1:9" ht="12.75" customHeight="1">
      <c r="A14" s="43">
        <v>25</v>
      </c>
      <c r="B14" s="43">
        <v>2</v>
      </c>
      <c r="C14" s="43">
        <v>450</v>
      </c>
      <c r="D14" s="43">
        <v>90.5</v>
      </c>
      <c r="E14" s="43">
        <f t="shared" si="0"/>
        <v>6.7861784251967636</v>
      </c>
      <c r="F14" s="43">
        <f t="shared" si="1"/>
        <v>5.08</v>
      </c>
      <c r="G14" s="43">
        <f t="shared" si="2"/>
        <v>3102.6407759999602</v>
      </c>
      <c r="H14" s="43">
        <f t="shared" si="3"/>
        <v>24.565965899212284</v>
      </c>
      <c r="I14" s="42"/>
    </row>
    <row r="15" spans="1:9" ht="12.75" customHeight="1">
      <c r="A15" s="43">
        <v>25</v>
      </c>
      <c r="B15" s="43">
        <v>2</v>
      </c>
      <c r="C15" s="43">
        <v>500</v>
      </c>
      <c r="D15" s="43">
        <v>94</v>
      </c>
      <c r="E15" s="43">
        <f t="shared" si="0"/>
        <v>6.7861784251967636</v>
      </c>
      <c r="F15" s="43">
        <f t="shared" si="1"/>
        <v>5.08</v>
      </c>
      <c r="G15" s="43">
        <f t="shared" si="2"/>
        <v>3447.3786399999558</v>
      </c>
      <c r="H15" s="43">
        <f t="shared" si="3"/>
        <v>25.516030878739834</v>
      </c>
      <c r="I15" s="42"/>
    </row>
    <row r="16" spans="1:9" ht="12.75" customHeight="1">
      <c r="A16" s="43">
        <v>25</v>
      </c>
      <c r="B16" s="43">
        <v>2</v>
      </c>
      <c r="C16" s="43">
        <v>550</v>
      </c>
      <c r="D16" s="43">
        <v>96.9</v>
      </c>
      <c r="E16" s="43">
        <f t="shared" si="0"/>
        <v>6.7861784251967636</v>
      </c>
      <c r="F16" s="43">
        <f t="shared" si="1"/>
        <v>5.08</v>
      </c>
      <c r="G16" s="43">
        <f t="shared" si="2"/>
        <v>3792.1165039999514</v>
      </c>
      <c r="H16" s="43">
        <f t="shared" si="3"/>
        <v>26.303227576062657</v>
      </c>
      <c r="I16" s="42"/>
    </row>
    <row r="17" spans="1:9" ht="12.75" customHeight="1">
      <c r="A17" s="43">
        <v>25</v>
      </c>
      <c r="B17" s="43">
        <v>2</v>
      </c>
      <c r="C17" s="43">
        <v>600</v>
      </c>
      <c r="D17" s="43">
        <v>99.800000000000011</v>
      </c>
      <c r="E17" s="43">
        <f t="shared" si="0"/>
        <v>6.7861784251967636</v>
      </c>
      <c r="F17" s="43">
        <f t="shared" si="1"/>
        <v>5.08</v>
      </c>
      <c r="G17" s="43">
        <f t="shared" si="2"/>
        <v>4136.8543679999475</v>
      </c>
      <c r="H17" s="43">
        <f t="shared" si="3"/>
        <v>27.090424273385484</v>
      </c>
      <c r="I17" s="42"/>
    </row>
    <row r="18" spans="1:9" ht="12.75" customHeight="1">
      <c r="A18" s="43">
        <v>25</v>
      </c>
      <c r="B18" s="43">
        <v>2</v>
      </c>
      <c r="C18" s="43">
        <v>650</v>
      </c>
      <c r="D18" s="43">
        <v>102.70000000000002</v>
      </c>
      <c r="E18" s="43">
        <f t="shared" si="0"/>
        <v>6.7861784251967636</v>
      </c>
      <c r="F18" s="43">
        <f t="shared" si="1"/>
        <v>5.08</v>
      </c>
      <c r="G18" s="43">
        <f t="shared" si="2"/>
        <v>4481.5922319999427</v>
      </c>
      <c r="H18" s="43">
        <f t="shared" si="3"/>
        <v>27.877620970708307</v>
      </c>
      <c r="I18" s="42"/>
    </row>
    <row r="19" spans="1:9" ht="12.75" customHeight="1">
      <c r="A19" s="43">
        <v>25</v>
      </c>
      <c r="B19" s="43">
        <v>2</v>
      </c>
      <c r="C19" s="43">
        <v>700</v>
      </c>
      <c r="D19" s="43">
        <v>105.60000000000002</v>
      </c>
      <c r="E19" s="43">
        <f t="shared" si="0"/>
        <v>6.7861784251967636</v>
      </c>
      <c r="F19" s="43">
        <f t="shared" si="1"/>
        <v>5.08</v>
      </c>
      <c r="G19" s="43">
        <f t="shared" si="2"/>
        <v>4826.3300959999378</v>
      </c>
      <c r="H19" s="43">
        <f t="shared" si="3"/>
        <v>28.664817668031137</v>
      </c>
      <c r="I19" s="42"/>
    </row>
    <row r="20" spans="1:9" ht="12.75" customHeight="1">
      <c r="A20" s="43">
        <v>25</v>
      </c>
      <c r="B20" s="43">
        <v>2</v>
      </c>
      <c r="C20" s="43">
        <v>750</v>
      </c>
      <c r="D20" s="43">
        <v>108.50000000000003</v>
      </c>
      <c r="E20" s="43">
        <f t="shared" si="0"/>
        <v>6.7861784251967636</v>
      </c>
      <c r="F20" s="43">
        <f t="shared" si="1"/>
        <v>5.08</v>
      </c>
      <c r="G20" s="43">
        <f t="shared" si="2"/>
        <v>5171.0679599999339</v>
      </c>
      <c r="H20" s="43">
        <f t="shared" si="3"/>
        <v>29.452014365353961</v>
      </c>
      <c r="I20" s="42"/>
    </row>
    <row r="21" spans="1:9" ht="12.75" customHeight="1">
      <c r="A21" s="43">
        <v>25</v>
      </c>
      <c r="B21" s="43">
        <v>2</v>
      </c>
      <c r="C21" s="43">
        <v>800</v>
      </c>
      <c r="D21" s="43">
        <v>111.40000000000003</v>
      </c>
      <c r="E21" s="43">
        <f t="shared" si="0"/>
        <v>6.7861784251967636</v>
      </c>
      <c r="F21" s="43">
        <f t="shared" si="1"/>
        <v>5.08</v>
      </c>
      <c r="G21" s="43">
        <f t="shared" si="2"/>
        <v>5515.8058239999291</v>
      </c>
      <c r="H21" s="43">
        <f t="shared" si="3"/>
        <v>30.239211062676787</v>
      </c>
      <c r="I21" s="42"/>
    </row>
    <row r="22" spans="1:9" ht="12.75" customHeight="1">
      <c r="A22" s="43">
        <v>25</v>
      </c>
      <c r="B22" s="43">
        <v>2</v>
      </c>
      <c r="C22" s="43">
        <v>850</v>
      </c>
      <c r="D22" s="43">
        <v>114.30000000000004</v>
      </c>
      <c r="E22" s="43">
        <f t="shared" si="0"/>
        <v>6.7861784251967636</v>
      </c>
      <c r="F22" s="43">
        <f t="shared" si="1"/>
        <v>5.08</v>
      </c>
      <c r="G22" s="43">
        <f t="shared" si="2"/>
        <v>5860.5436879999252</v>
      </c>
      <c r="H22" s="43">
        <f t="shared" si="3"/>
        <v>31.026407759999611</v>
      </c>
      <c r="I22" s="42"/>
    </row>
    <row r="23" spans="1:9" ht="12.75" customHeight="1">
      <c r="A23" s="43">
        <v>25</v>
      </c>
      <c r="B23" s="43">
        <v>2</v>
      </c>
      <c r="C23" s="43">
        <v>900</v>
      </c>
      <c r="D23" s="43">
        <v>117.20000000000005</v>
      </c>
      <c r="E23" s="43">
        <f t="shared" si="0"/>
        <v>6.7861784251967636</v>
      </c>
      <c r="F23" s="43">
        <f t="shared" si="1"/>
        <v>5.08</v>
      </c>
      <c r="G23" s="43">
        <f t="shared" si="2"/>
        <v>6205.2815519999203</v>
      </c>
      <c r="H23" s="43">
        <f t="shared" si="3"/>
        <v>31.813604457322441</v>
      </c>
      <c r="I23" s="42"/>
    </row>
    <row r="24" spans="1:9" ht="12.75" customHeight="1">
      <c r="A24" s="43">
        <v>25</v>
      </c>
      <c r="B24" s="43">
        <v>2</v>
      </c>
      <c r="C24" s="43">
        <v>950</v>
      </c>
      <c r="D24" s="43">
        <v>120.10000000000005</v>
      </c>
      <c r="E24" s="43">
        <f t="shared" si="0"/>
        <v>6.7861784251967636</v>
      </c>
      <c r="F24" s="43">
        <f t="shared" si="1"/>
        <v>5.08</v>
      </c>
      <c r="G24" s="43">
        <f t="shared" si="2"/>
        <v>6550.0194159999164</v>
      </c>
      <c r="H24" s="43">
        <f t="shared" si="3"/>
        <v>32.600801154645261</v>
      </c>
      <c r="I24" s="42"/>
    </row>
    <row r="25" spans="1:9" ht="12.75" customHeight="1">
      <c r="A25" s="43">
        <v>25</v>
      </c>
      <c r="B25" s="43">
        <v>2</v>
      </c>
      <c r="C25" s="43">
        <v>1000</v>
      </c>
      <c r="D25" s="43">
        <v>123</v>
      </c>
      <c r="E25" s="43">
        <f t="shared" si="0"/>
        <v>6.7861784251967636</v>
      </c>
      <c r="F25" s="43">
        <f t="shared" si="1"/>
        <v>5.08</v>
      </c>
      <c r="G25" s="43">
        <f t="shared" si="2"/>
        <v>6894.7572799999116</v>
      </c>
      <c r="H25" s="43">
        <f t="shared" si="3"/>
        <v>33.387997851968073</v>
      </c>
      <c r="I25" s="42"/>
    </row>
    <row r="26" spans="1:9" ht="12.75" customHeight="1">
      <c r="A26" s="43">
        <v>25</v>
      </c>
      <c r="B26" s="43">
        <v>2</v>
      </c>
      <c r="C26" s="43">
        <v>1100</v>
      </c>
      <c r="D26" s="43">
        <v>128.1</v>
      </c>
      <c r="E26" s="43">
        <f t="shared" si="0"/>
        <v>6.7861784251967636</v>
      </c>
      <c r="F26" s="43">
        <f t="shared" si="1"/>
        <v>5.08</v>
      </c>
      <c r="G26" s="43">
        <f t="shared" si="2"/>
        <v>7584.2330079999028</v>
      </c>
      <c r="H26" s="43">
        <f t="shared" si="3"/>
        <v>34.772378250708208</v>
      </c>
      <c r="I26" s="42"/>
    </row>
    <row r="27" spans="1:9" ht="12.75" customHeight="1">
      <c r="A27" s="43">
        <v>25</v>
      </c>
      <c r="B27" s="43">
        <v>2</v>
      </c>
      <c r="C27" s="43">
        <v>1200</v>
      </c>
      <c r="D27" s="43">
        <v>133.19999999999999</v>
      </c>
      <c r="E27" s="43">
        <f t="shared" si="0"/>
        <v>6.7861784251967636</v>
      </c>
      <c r="F27" s="43">
        <f t="shared" si="1"/>
        <v>5.08</v>
      </c>
      <c r="G27" s="43">
        <f t="shared" si="2"/>
        <v>8273.708735999895</v>
      </c>
      <c r="H27" s="43">
        <f t="shared" si="3"/>
        <v>36.156758649448349</v>
      </c>
      <c r="I27" s="42"/>
    </row>
    <row r="28" spans="1:9" ht="12.75" customHeight="1">
      <c r="A28" s="43">
        <v>25</v>
      </c>
      <c r="B28" s="43">
        <v>2</v>
      </c>
      <c r="C28" s="43">
        <v>1300</v>
      </c>
      <c r="D28" s="43">
        <v>138.29999999999998</v>
      </c>
      <c r="E28" s="43">
        <f t="shared" si="0"/>
        <v>6.7861784251967636</v>
      </c>
      <c r="F28" s="43">
        <f t="shared" si="1"/>
        <v>5.08</v>
      </c>
      <c r="G28" s="43">
        <f t="shared" si="2"/>
        <v>8963.1844639998853</v>
      </c>
      <c r="H28" s="43">
        <f t="shared" si="3"/>
        <v>37.541139048188491</v>
      </c>
      <c r="I28" s="42"/>
    </row>
    <row r="29" spans="1:9" ht="12.75" customHeight="1">
      <c r="A29" s="43">
        <v>25</v>
      </c>
      <c r="B29" s="43">
        <v>2</v>
      </c>
      <c r="C29" s="43">
        <v>1400</v>
      </c>
      <c r="D29" s="43">
        <v>143.39999999999998</v>
      </c>
      <c r="E29" s="43">
        <f t="shared" si="0"/>
        <v>6.7861784251967636</v>
      </c>
      <c r="F29" s="43">
        <f t="shared" si="1"/>
        <v>5.08</v>
      </c>
      <c r="G29" s="43">
        <f t="shared" si="2"/>
        <v>9652.6601919998757</v>
      </c>
      <c r="H29" s="43">
        <f t="shared" si="3"/>
        <v>38.925519446928625</v>
      </c>
      <c r="I29" s="42"/>
    </row>
    <row r="30" spans="1:9" ht="12.75" customHeight="1">
      <c r="A30" s="43">
        <v>25</v>
      </c>
      <c r="B30" s="43">
        <v>2</v>
      </c>
      <c r="C30" s="43">
        <v>1500</v>
      </c>
      <c r="D30" s="43">
        <v>148.49999999999997</v>
      </c>
      <c r="E30" s="43">
        <f t="shared" si="0"/>
        <v>6.7861784251967636</v>
      </c>
      <c r="F30" s="43">
        <f t="shared" si="1"/>
        <v>5.08</v>
      </c>
      <c r="G30" s="43">
        <f t="shared" si="2"/>
        <v>10342.135919999868</v>
      </c>
      <c r="H30" s="43">
        <f t="shared" si="3"/>
        <v>40.309899845668767</v>
      </c>
      <c r="I30" s="42"/>
    </row>
    <row r="31" spans="1:9" ht="12.75" customHeight="1">
      <c r="A31" s="43">
        <v>25</v>
      </c>
      <c r="B31" s="43">
        <v>2</v>
      </c>
      <c r="C31" s="43">
        <v>1600</v>
      </c>
      <c r="D31" s="43">
        <v>153.59999999999997</v>
      </c>
      <c r="E31" s="43">
        <f t="shared" si="0"/>
        <v>6.7861784251967636</v>
      </c>
      <c r="F31" s="43">
        <f t="shared" si="1"/>
        <v>5.08</v>
      </c>
      <c r="G31" s="43">
        <f t="shared" si="2"/>
        <v>11031.611647999858</v>
      </c>
      <c r="H31" s="43">
        <f t="shared" si="3"/>
        <v>41.694280244408908</v>
      </c>
      <c r="I31" s="42"/>
    </row>
    <row r="32" spans="1:9" ht="12.75" customHeight="1">
      <c r="A32" s="43">
        <v>25</v>
      </c>
      <c r="B32" s="43">
        <v>2</v>
      </c>
      <c r="C32" s="43">
        <v>1700</v>
      </c>
      <c r="D32" s="43">
        <v>158.69999999999996</v>
      </c>
      <c r="E32" s="43">
        <f t="shared" si="0"/>
        <v>6.7861784251967636</v>
      </c>
      <c r="F32" s="43">
        <f t="shared" si="1"/>
        <v>5.08</v>
      </c>
      <c r="G32" s="43">
        <f t="shared" si="2"/>
        <v>11721.08737599985</v>
      </c>
      <c r="H32" s="43">
        <f t="shared" si="3"/>
        <v>43.078660643149043</v>
      </c>
      <c r="I32" s="42"/>
    </row>
    <row r="33" spans="1:9" ht="12.75" customHeight="1">
      <c r="A33" s="43">
        <v>25</v>
      </c>
      <c r="B33" s="43">
        <v>2</v>
      </c>
      <c r="C33" s="43">
        <v>1800</v>
      </c>
      <c r="D33" s="43">
        <v>163.79999999999995</v>
      </c>
      <c r="E33" s="43">
        <f t="shared" si="0"/>
        <v>6.7861784251967636</v>
      </c>
      <c r="F33" s="43">
        <f t="shared" si="1"/>
        <v>5.08</v>
      </c>
      <c r="G33" s="43">
        <f t="shared" si="2"/>
        <v>12410.563103999841</v>
      </c>
      <c r="H33" s="43">
        <f t="shared" si="3"/>
        <v>44.463041041889184</v>
      </c>
      <c r="I33" s="42"/>
    </row>
    <row r="34" spans="1:9" ht="12.75" customHeight="1">
      <c r="A34" s="43">
        <v>25</v>
      </c>
      <c r="B34" s="43">
        <v>2</v>
      </c>
      <c r="C34" s="43">
        <v>1900</v>
      </c>
      <c r="D34" s="43">
        <v>168.89999999999995</v>
      </c>
      <c r="E34" s="43">
        <f t="shared" si="0"/>
        <v>6.7861784251967636</v>
      </c>
      <c r="F34" s="43">
        <f t="shared" si="1"/>
        <v>5.08</v>
      </c>
      <c r="G34" s="43">
        <f t="shared" si="2"/>
        <v>13100.038831999833</v>
      </c>
      <c r="H34" s="43">
        <f t="shared" si="3"/>
        <v>45.847421440629311</v>
      </c>
      <c r="I34" s="42"/>
    </row>
    <row r="35" spans="1:9" ht="12.75" customHeight="1">
      <c r="A35" s="43">
        <v>25</v>
      </c>
      <c r="B35" s="43">
        <v>2</v>
      </c>
      <c r="C35" s="43">
        <v>2000</v>
      </c>
      <c r="D35" s="43">
        <v>174</v>
      </c>
      <c r="E35" s="43">
        <f t="shared" si="0"/>
        <v>6.7861784251967636</v>
      </c>
      <c r="F35" s="43">
        <f t="shared" si="1"/>
        <v>5.08</v>
      </c>
      <c r="G35" s="43">
        <f t="shared" si="2"/>
        <v>13789.514559999823</v>
      </c>
      <c r="H35" s="43">
        <f t="shared" si="3"/>
        <v>47.231801839369474</v>
      </c>
      <c r="I35" s="42"/>
    </row>
    <row r="36" spans="1:9" ht="12.75" customHeight="1">
      <c r="A36" s="43">
        <v>25</v>
      </c>
      <c r="B36" s="43">
        <v>3</v>
      </c>
      <c r="C36" s="43">
        <v>50</v>
      </c>
      <c r="D36" s="43">
        <v>67</v>
      </c>
      <c r="E36" s="43">
        <f t="shared" si="0"/>
        <v>6.7861784251967636</v>
      </c>
      <c r="F36" s="43">
        <f t="shared" si="1"/>
        <v>7.62</v>
      </c>
      <c r="G36" s="43">
        <f t="shared" si="2"/>
        <v>344.73786399999557</v>
      </c>
      <c r="H36" s="43">
        <f t="shared" si="3"/>
        <v>18.186958179527327</v>
      </c>
      <c r="I36" s="42"/>
    </row>
    <row r="37" spans="1:9" ht="12.75" customHeight="1">
      <c r="A37" s="43">
        <v>25</v>
      </c>
      <c r="B37" s="43">
        <v>3</v>
      </c>
      <c r="C37" s="43">
        <v>60</v>
      </c>
      <c r="D37" s="43">
        <v>69.599999999999994</v>
      </c>
      <c r="E37" s="43">
        <f t="shared" si="0"/>
        <v>6.7861784251967636</v>
      </c>
      <c r="F37" s="43">
        <f t="shared" si="1"/>
        <v>7.62</v>
      </c>
      <c r="G37" s="43">
        <f t="shared" si="2"/>
        <v>413.6854367999947</v>
      </c>
      <c r="H37" s="43">
        <f t="shared" si="3"/>
        <v>18.892720735747787</v>
      </c>
      <c r="I37" s="42"/>
    </row>
    <row r="38" spans="1:9" ht="12.75" customHeight="1">
      <c r="A38" s="43">
        <v>25</v>
      </c>
      <c r="B38" s="43">
        <v>3</v>
      </c>
      <c r="C38" s="43">
        <v>70</v>
      </c>
      <c r="D38" s="43">
        <v>72.199999999999989</v>
      </c>
      <c r="E38" s="43">
        <f t="shared" si="0"/>
        <v>6.7861784251967636</v>
      </c>
      <c r="F38" s="43">
        <f t="shared" si="1"/>
        <v>7.62</v>
      </c>
      <c r="G38" s="43">
        <f t="shared" si="2"/>
        <v>482.63300959999384</v>
      </c>
      <c r="H38" s="43">
        <f t="shared" si="3"/>
        <v>19.59848329196825</v>
      </c>
      <c r="I38" s="42"/>
    </row>
    <row r="39" spans="1:9" ht="12.75" customHeight="1">
      <c r="A39" s="43">
        <v>25</v>
      </c>
      <c r="B39" s="43">
        <v>3</v>
      </c>
      <c r="C39" s="43">
        <v>80</v>
      </c>
      <c r="D39" s="43">
        <v>74.799999999999983</v>
      </c>
      <c r="E39" s="43">
        <f t="shared" si="0"/>
        <v>6.7861784251967636</v>
      </c>
      <c r="F39" s="43">
        <f t="shared" si="1"/>
        <v>7.62</v>
      </c>
      <c r="G39" s="43">
        <f t="shared" si="2"/>
        <v>551.58058239999298</v>
      </c>
      <c r="H39" s="43">
        <f t="shared" si="3"/>
        <v>20.30424584818871</v>
      </c>
      <c r="I39" s="42"/>
    </row>
    <row r="40" spans="1:9" ht="12.75" customHeight="1">
      <c r="A40" s="43">
        <v>25</v>
      </c>
      <c r="B40" s="43">
        <v>3</v>
      </c>
      <c r="C40" s="43">
        <v>90</v>
      </c>
      <c r="D40" s="43">
        <v>77.399999999999977</v>
      </c>
      <c r="E40" s="43">
        <f t="shared" si="0"/>
        <v>6.7861784251967636</v>
      </c>
      <c r="F40" s="43">
        <f t="shared" si="1"/>
        <v>7.62</v>
      </c>
      <c r="G40" s="43">
        <f t="shared" si="2"/>
        <v>620.52815519999206</v>
      </c>
      <c r="H40" s="43">
        <f t="shared" si="3"/>
        <v>21.01000840440917</v>
      </c>
      <c r="I40" s="42"/>
    </row>
    <row r="41" spans="1:9" ht="12.75" customHeight="1">
      <c r="A41" s="43">
        <v>25</v>
      </c>
      <c r="B41" s="43">
        <v>3</v>
      </c>
      <c r="C41" s="43">
        <v>100</v>
      </c>
      <c r="D41" s="43">
        <v>80</v>
      </c>
      <c r="E41" s="43">
        <f t="shared" si="0"/>
        <v>6.7861784251967636</v>
      </c>
      <c r="F41" s="43">
        <f t="shared" si="1"/>
        <v>7.62</v>
      </c>
      <c r="G41" s="43">
        <f t="shared" si="2"/>
        <v>689.47572799999114</v>
      </c>
      <c r="H41" s="43">
        <f t="shared" si="3"/>
        <v>21.715770960629641</v>
      </c>
      <c r="I41" s="42"/>
    </row>
    <row r="42" spans="1:9" ht="12.75" customHeight="1">
      <c r="A42" s="43">
        <v>25</v>
      </c>
      <c r="B42" s="43">
        <v>3</v>
      </c>
      <c r="C42" s="43">
        <v>150</v>
      </c>
      <c r="D42" s="43">
        <v>88.75</v>
      </c>
      <c r="E42" s="43">
        <f t="shared" si="0"/>
        <v>6.7861784251967636</v>
      </c>
      <c r="F42" s="43">
        <f t="shared" si="1"/>
        <v>7.62</v>
      </c>
      <c r="G42" s="43">
        <f t="shared" si="2"/>
        <v>1034.2135919999869</v>
      </c>
      <c r="H42" s="43">
        <f t="shared" si="3"/>
        <v>24.09093340944851</v>
      </c>
      <c r="I42" s="42"/>
    </row>
    <row r="43" spans="1:9" ht="12.75" customHeight="1">
      <c r="A43" s="43">
        <v>25</v>
      </c>
      <c r="B43" s="43">
        <v>3</v>
      </c>
      <c r="C43" s="43">
        <v>200</v>
      </c>
      <c r="D43" s="43">
        <v>97.5</v>
      </c>
      <c r="E43" s="43">
        <f t="shared" si="0"/>
        <v>6.7861784251967636</v>
      </c>
      <c r="F43" s="43">
        <f t="shared" si="1"/>
        <v>7.62</v>
      </c>
      <c r="G43" s="43">
        <f t="shared" si="2"/>
        <v>1378.9514559999823</v>
      </c>
      <c r="H43" s="43">
        <f t="shared" si="3"/>
        <v>26.466095858267376</v>
      </c>
      <c r="I43" s="42"/>
    </row>
    <row r="44" spans="1:9" ht="12.75" customHeight="1">
      <c r="A44" s="43">
        <v>25</v>
      </c>
      <c r="B44" s="43">
        <v>3</v>
      </c>
      <c r="C44" s="43">
        <v>250</v>
      </c>
      <c r="D44" s="43">
        <v>106.25</v>
      </c>
      <c r="E44" s="43">
        <f t="shared" si="0"/>
        <v>6.7861784251967636</v>
      </c>
      <c r="F44" s="43">
        <f t="shared" si="1"/>
        <v>7.62</v>
      </c>
      <c r="G44" s="43">
        <f t="shared" si="2"/>
        <v>1723.6893199999779</v>
      </c>
      <c r="H44" s="43">
        <f t="shared" si="3"/>
        <v>28.841258307086242</v>
      </c>
      <c r="I44" s="42"/>
    </row>
    <row r="45" spans="1:9" ht="12.75" customHeight="1">
      <c r="A45" s="43">
        <v>25</v>
      </c>
      <c r="B45" s="43">
        <v>3</v>
      </c>
      <c r="C45" s="43">
        <v>300</v>
      </c>
      <c r="D45" s="43">
        <v>115</v>
      </c>
      <c r="E45" s="43">
        <f t="shared" si="0"/>
        <v>6.7861784251967636</v>
      </c>
      <c r="F45" s="43">
        <f t="shared" si="1"/>
        <v>7.62</v>
      </c>
      <c r="G45" s="43">
        <f t="shared" si="2"/>
        <v>2068.4271839999737</v>
      </c>
      <c r="H45" s="43">
        <f t="shared" si="3"/>
        <v>31.216420755905109</v>
      </c>
      <c r="I45" s="42"/>
    </row>
    <row r="46" spans="1:9" ht="12.75" customHeight="1">
      <c r="A46" s="43">
        <v>25</v>
      </c>
      <c r="B46" s="43">
        <v>3</v>
      </c>
      <c r="C46" s="43">
        <v>350</v>
      </c>
      <c r="D46" s="43">
        <v>119.75</v>
      </c>
      <c r="E46" s="43">
        <f t="shared" si="0"/>
        <v>6.7861784251967636</v>
      </c>
      <c r="F46" s="43">
        <f t="shared" si="1"/>
        <v>7.62</v>
      </c>
      <c r="G46" s="43">
        <f t="shared" si="2"/>
        <v>2413.1650479999689</v>
      </c>
      <c r="H46" s="43">
        <f t="shared" si="3"/>
        <v>32.505794656692494</v>
      </c>
      <c r="I46" s="42"/>
    </row>
    <row r="47" spans="1:9" ht="12.75" customHeight="1">
      <c r="A47" s="43">
        <v>25</v>
      </c>
      <c r="B47" s="43">
        <v>3</v>
      </c>
      <c r="C47" s="43">
        <v>400</v>
      </c>
      <c r="D47" s="43">
        <v>124.5</v>
      </c>
      <c r="E47" s="43">
        <f t="shared" si="0"/>
        <v>6.7861784251967636</v>
      </c>
      <c r="F47" s="43">
        <f t="shared" si="1"/>
        <v>7.62</v>
      </c>
      <c r="G47" s="43">
        <f t="shared" si="2"/>
        <v>2757.9029119999645</v>
      </c>
      <c r="H47" s="43">
        <f t="shared" si="3"/>
        <v>33.795168557479883</v>
      </c>
      <c r="I47" s="42"/>
    </row>
    <row r="48" spans="1:9" ht="12.75" customHeight="1">
      <c r="A48" s="43">
        <v>25</v>
      </c>
      <c r="B48" s="43">
        <v>3</v>
      </c>
      <c r="C48" s="43">
        <v>450</v>
      </c>
      <c r="D48" s="43">
        <v>129.25</v>
      </c>
      <c r="E48" s="43">
        <f t="shared" si="0"/>
        <v>6.7861784251967636</v>
      </c>
      <c r="F48" s="43">
        <f t="shared" si="1"/>
        <v>7.62</v>
      </c>
      <c r="G48" s="43">
        <f t="shared" si="2"/>
        <v>3102.6407759999602</v>
      </c>
      <c r="H48" s="43">
        <f t="shared" si="3"/>
        <v>35.084542458267265</v>
      </c>
      <c r="I48" s="42"/>
    </row>
    <row r="49" spans="1:9" ht="12.75" customHeight="1">
      <c r="A49" s="43">
        <v>25</v>
      </c>
      <c r="B49" s="43">
        <v>3</v>
      </c>
      <c r="C49" s="43">
        <v>500</v>
      </c>
      <c r="D49" s="43">
        <v>134</v>
      </c>
      <c r="E49" s="43">
        <f t="shared" si="0"/>
        <v>6.7861784251967636</v>
      </c>
      <c r="F49" s="43">
        <f t="shared" si="1"/>
        <v>7.62</v>
      </c>
      <c r="G49" s="43">
        <f t="shared" si="2"/>
        <v>3447.3786399999558</v>
      </c>
      <c r="H49" s="43">
        <f t="shared" si="3"/>
        <v>36.373916359054654</v>
      </c>
      <c r="I49" s="42"/>
    </row>
    <row r="50" spans="1:9" ht="12.75" customHeight="1">
      <c r="A50" s="43">
        <v>25</v>
      </c>
      <c r="B50" s="43">
        <v>3</v>
      </c>
      <c r="C50" s="43">
        <v>550</v>
      </c>
      <c r="D50" s="43">
        <v>142.30000000000001</v>
      </c>
      <c r="E50" s="43">
        <f t="shared" si="0"/>
        <v>6.7861784251967636</v>
      </c>
      <c r="F50" s="43">
        <f t="shared" si="1"/>
        <v>7.62</v>
      </c>
      <c r="G50" s="43">
        <f t="shared" si="2"/>
        <v>3792.1165039999514</v>
      </c>
      <c r="H50" s="43">
        <f t="shared" si="3"/>
        <v>38.626927596219979</v>
      </c>
      <c r="I50" s="42"/>
    </row>
    <row r="51" spans="1:9" ht="12.75" customHeight="1">
      <c r="A51" s="43">
        <v>25</v>
      </c>
      <c r="B51" s="43">
        <v>3</v>
      </c>
      <c r="C51" s="43">
        <v>600</v>
      </c>
      <c r="D51" s="43">
        <v>150.60000000000002</v>
      </c>
      <c r="E51" s="43">
        <f t="shared" si="0"/>
        <v>6.7861784251967636</v>
      </c>
      <c r="F51" s="43">
        <f t="shared" si="1"/>
        <v>7.62</v>
      </c>
      <c r="G51" s="43">
        <f t="shared" si="2"/>
        <v>4136.8543679999475</v>
      </c>
      <c r="H51" s="43">
        <f t="shared" si="3"/>
        <v>40.879938833385303</v>
      </c>
      <c r="I51" s="42"/>
    </row>
    <row r="52" spans="1:9" ht="12.75" customHeight="1">
      <c r="A52" s="43">
        <v>25</v>
      </c>
      <c r="B52" s="43">
        <v>3</v>
      </c>
      <c r="C52" s="43">
        <v>650</v>
      </c>
      <c r="D52" s="43">
        <v>158.90000000000003</v>
      </c>
      <c r="E52" s="43">
        <f t="shared" si="0"/>
        <v>6.7861784251967636</v>
      </c>
      <c r="F52" s="43">
        <f t="shared" si="1"/>
        <v>7.62</v>
      </c>
      <c r="G52" s="43">
        <f t="shared" si="2"/>
        <v>4481.5922319999427</v>
      </c>
      <c r="H52" s="43">
        <f t="shared" si="3"/>
        <v>43.132950070550635</v>
      </c>
      <c r="I52" s="42"/>
    </row>
    <row r="53" spans="1:9" ht="12.75" customHeight="1">
      <c r="A53" s="43">
        <v>25</v>
      </c>
      <c r="B53" s="43">
        <v>3</v>
      </c>
      <c r="C53" s="43">
        <v>700</v>
      </c>
      <c r="D53" s="43">
        <v>167.20000000000005</v>
      </c>
      <c r="E53" s="43">
        <f t="shared" si="0"/>
        <v>6.7861784251967636</v>
      </c>
      <c r="F53" s="43">
        <f t="shared" si="1"/>
        <v>7.62</v>
      </c>
      <c r="G53" s="43">
        <f t="shared" si="2"/>
        <v>4826.3300959999378</v>
      </c>
      <c r="H53" s="43">
        <f t="shared" si="3"/>
        <v>45.385961307715966</v>
      </c>
      <c r="I53" s="42"/>
    </row>
    <row r="54" spans="1:9" ht="12.75" customHeight="1">
      <c r="A54" s="43">
        <v>25</v>
      </c>
      <c r="B54" s="43">
        <v>3</v>
      </c>
      <c r="C54" s="43">
        <v>750</v>
      </c>
      <c r="D54" s="43">
        <v>175.50000000000006</v>
      </c>
      <c r="E54" s="43">
        <f t="shared" si="0"/>
        <v>6.7861784251967636</v>
      </c>
      <c r="F54" s="43">
        <f t="shared" si="1"/>
        <v>7.62</v>
      </c>
      <c r="G54" s="43">
        <f t="shared" si="2"/>
        <v>5171.0679599999339</v>
      </c>
      <c r="H54" s="43">
        <f t="shared" si="3"/>
        <v>47.638972544881291</v>
      </c>
      <c r="I54" s="42"/>
    </row>
    <row r="55" spans="1:9" ht="12.75" customHeight="1">
      <c r="A55" s="43">
        <v>25</v>
      </c>
      <c r="B55" s="43">
        <v>3</v>
      </c>
      <c r="C55" s="43">
        <v>800</v>
      </c>
      <c r="D55" s="43">
        <v>183.80000000000007</v>
      </c>
      <c r="E55" s="43">
        <f t="shared" si="0"/>
        <v>6.7861784251967636</v>
      </c>
      <c r="F55" s="43">
        <f t="shared" si="1"/>
        <v>7.62</v>
      </c>
      <c r="G55" s="43">
        <f t="shared" si="2"/>
        <v>5515.8058239999291</v>
      </c>
      <c r="H55" s="43">
        <f t="shared" si="3"/>
        <v>49.891983782046623</v>
      </c>
      <c r="I55" s="42"/>
    </row>
    <row r="56" spans="1:9" ht="12.75" customHeight="1">
      <c r="A56" s="43">
        <v>25</v>
      </c>
      <c r="B56" s="43">
        <v>3</v>
      </c>
      <c r="C56" s="43">
        <v>850</v>
      </c>
      <c r="D56" s="43">
        <v>192.10000000000008</v>
      </c>
      <c r="E56" s="43">
        <f t="shared" si="0"/>
        <v>6.7861784251967636</v>
      </c>
      <c r="F56" s="43">
        <f t="shared" si="1"/>
        <v>7.62</v>
      </c>
      <c r="G56" s="43">
        <f t="shared" si="2"/>
        <v>5860.5436879999252</v>
      </c>
      <c r="H56" s="43">
        <f t="shared" si="3"/>
        <v>52.144995019211947</v>
      </c>
      <c r="I56" s="42"/>
    </row>
    <row r="57" spans="1:9" ht="12.75" customHeight="1">
      <c r="A57" s="43">
        <v>25</v>
      </c>
      <c r="B57" s="43">
        <v>3</v>
      </c>
      <c r="C57" s="43">
        <v>900</v>
      </c>
      <c r="D57" s="43">
        <v>200.40000000000009</v>
      </c>
      <c r="E57" s="43">
        <f t="shared" si="0"/>
        <v>6.7861784251967636</v>
      </c>
      <c r="F57" s="43">
        <f t="shared" si="1"/>
        <v>7.62</v>
      </c>
      <c r="G57" s="43">
        <f t="shared" si="2"/>
        <v>6205.2815519999203</v>
      </c>
      <c r="H57" s="43">
        <f t="shared" si="3"/>
        <v>54.398006256377279</v>
      </c>
      <c r="I57" s="42"/>
    </row>
    <row r="58" spans="1:9" ht="12.75" customHeight="1">
      <c r="A58" s="43">
        <v>25</v>
      </c>
      <c r="B58" s="43">
        <v>3</v>
      </c>
      <c r="C58" s="43">
        <v>950</v>
      </c>
      <c r="D58" s="43">
        <v>208.7000000000001</v>
      </c>
      <c r="E58" s="43">
        <f t="shared" si="0"/>
        <v>6.7861784251967636</v>
      </c>
      <c r="F58" s="43">
        <f t="shared" si="1"/>
        <v>7.62</v>
      </c>
      <c r="G58" s="43">
        <f t="shared" si="2"/>
        <v>6550.0194159999164</v>
      </c>
      <c r="H58" s="43">
        <f t="shared" si="3"/>
        <v>56.651017493542604</v>
      </c>
      <c r="I58" s="42"/>
    </row>
    <row r="59" spans="1:9" ht="12.75" customHeight="1">
      <c r="A59" s="43">
        <v>25</v>
      </c>
      <c r="B59" s="43">
        <v>3</v>
      </c>
      <c r="C59" s="43">
        <v>1000</v>
      </c>
      <c r="D59" s="43">
        <v>217</v>
      </c>
      <c r="E59" s="43">
        <f t="shared" si="0"/>
        <v>6.7861784251967636</v>
      </c>
      <c r="F59" s="43">
        <f t="shared" si="1"/>
        <v>7.62</v>
      </c>
      <c r="G59" s="43">
        <f t="shared" si="2"/>
        <v>6894.7572799999116</v>
      </c>
      <c r="H59" s="43">
        <f t="shared" si="3"/>
        <v>58.9040287307079</v>
      </c>
      <c r="I59" s="42"/>
    </row>
    <row r="60" spans="1:9" ht="12.75" customHeight="1">
      <c r="A60" s="43">
        <v>25</v>
      </c>
      <c r="B60" s="43">
        <v>3</v>
      </c>
      <c r="C60" s="43">
        <v>1100</v>
      </c>
      <c r="D60" s="43">
        <v>229.1</v>
      </c>
      <c r="E60" s="43">
        <f t="shared" si="0"/>
        <v>6.7861784251967636</v>
      </c>
      <c r="F60" s="43">
        <f t="shared" si="1"/>
        <v>7.62</v>
      </c>
      <c r="G60" s="43">
        <f t="shared" si="2"/>
        <v>7584.2330079999028</v>
      </c>
      <c r="H60" s="43">
        <f t="shared" si="3"/>
        <v>62.188539088503134</v>
      </c>
      <c r="I60" s="42"/>
    </row>
    <row r="61" spans="1:9" ht="12.75" customHeight="1">
      <c r="A61" s="43">
        <v>25</v>
      </c>
      <c r="B61" s="43">
        <v>3</v>
      </c>
      <c r="C61" s="43">
        <v>1200</v>
      </c>
      <c r="D61" s="43">
        <v>241.2</v>
      </c>
      <c r="E61" s="43">
        <f t="shared" si="0"/>
        <v>6.7861784251967636</v>
      </c>
      <c r="F61" s="43">
        <f t="shared" si="1"/>
        <v>7.62</v>
      </c>
      <c r="G61" s="43">
        <f t="shared" si="2"/>
        <v>8273.708735999895</v>
      </c>
      <c r="H61" s="43">
        <f t="shared" si="3"/>
        <v>65.473049446298361</v>
      </c>
      <c r="I61" s="42"/>
    </row>
    <row r="62" spans="1:9" ht="12.75" customHeight="1">
      <c r="A62" s="43">
        <v>25</v>
      </c>
      <c r="B62" s="43">
        <v>3</v>
      </c>
      <c r="C62" s="43">
        <v>1300</v>
      </c>
      <c r="D62" s="43">
        <v>253.29999999999998</v>
      </c>
      <c r="E62" s="43">
        <f t="shared" si="0"/>
        <v>6.7861784251967636</v>
      </c>
      <c r="F62" s="43">
        <f t="shared" si="1"/>
        <v>7.62</v>
      </c>
      <c r="G62" s="43">
        <f t="shared" si="2"/>
        <v>8963.1844639998853</v>
      </c>
      <c r="H62" s="43">
        <f t="shared" si="3"/>
        <v>68.757559804093603</v>
      </c>
      <c r="I62" s="42"/>
    </row>
    <row r="63" spans="1:9" ht="12.75" customHeight="1">
      <c r="A63" s="43">
        <v>25</v>
      </c>
      <c r="B63" s="43">
        <v>3</v>
      </c>
      <c r="C63" s="43">
        <v>1400</v>
      </c>
      <c r="D63" s="43">
        <v>265.39999999999998</v>
      </c>
      <c r="E63" s="43">
        <f t="shared" si="0"/>
        <v>6.7861784251967636</v>
      </c>
      <c r="F63" s="43">
        <f t="shared" si="1"/>
        <v>7.62</v>
      </c>
      <c r="G63" s="43">
        <f t="shared" si="2"/>
        <v>9652.6601919998757</v>
      </c>
      <c r="H63" s="43">
        <f t="shared" si="3"/>
        <v>72.04207016188883</v>
      </c>
      <c r="I63" s="42"/>
    </row>
    <row r="64" spans="1:9" ht="12.75" customHeight="1">
      <c r="A64" s="43">
        <v>25</v>
      </c>
      <c r="B64" s="43">
        <v>3</v>
      </c>
      <c r="C64" s="43">
        <v>1500</v>
      </c>
      <c r="D64" s="43">
        <v>277.5</v>
      </c>
      <c r="E64" s="43">
        <f t="shared" si="0"/>
        <v>6.7861784251967636</v>
      </c>
      <c r="F64" s="43">
        <f t="shared" si="1"/>
        <v>7.62</v>
      </c>
      <c r="G64" s="43">
        <f t="shared" si="2"/>
        <v>10342.135919999868</v>
      </c>
      <c r="H64" s="43">
        <f t="shared" si="3"/>
        <v>75.326580519684072</v>
      </c>
      <c r="I64" s="42"/>
    </row>
    <row r="65" spans="1:9" ht="12.75" customHeight="1">
      <c r="A65" s="43">
        <v>25</v>
      </c>
      <c r="B65" s="43">
        <v>3</v>
      </c>
      <c r="C65" s="43">
        <v>1600</v>
      </c>
      <c r="D65" s="43">
        <v>289.60000000000002</v>
      </c>
      <c r="E65" s="43">
        <f t="shared" si="0"/>
        <v>6.7861784251967636</v>
      </c>
      <c r="F65" s="43">
        <f t="shared" si="1"/>
        <v>7.62</v>
      </c>
      <c r="G65" s="43">
        <f t="shared" si="2"/>
        <v>11031.611647999858</v>
      </c>
      <c r="H65" s="43">
        <f t="shared" si="3"/>
        <v>78.611090877479313</v>
      </c>
      <c r="I65" s="42"/>
    </row>
    <row r="66" spans="1:9" ht="12.75" customHeight="1">
      <c r="A66" s="43">
        <v>25</v>
      </c>
      <c r="B66" s="43">
        <v>3</v>
      </c>
      <c r="C66" s="43">
        <v>1700</v>
      </c>
      <c r="D66" s="43">
        <v>301.70000000000005</v>
      </c>
      <c r="E66" s="43">
        <f t="shared" si="0"/>
        <v>6.7861784251967636</v>
      </c>
      <c r="F66" s="43">
        <f t="shared" si="1"/>
        <v>7.62</v>
      </c>
      <c r="G66" s="43">
        <f t="shared" si="2"/>
        <v>11721.08737599985</v>
      </c>
      <c r="H66" s="43">
        <f t="shared" si="3"/>
        <v>81.895601235274555</v>
      </c>
      <c r="I66" s="42"/>
    </row>
    <row r="67" spans="1:9" ht="12.75" customHeight="1">
      <c r="A67" s="43">
        <v>25</v>
      </c>
      <c r="B67" s="43">
        <v>3</v>
      </c>
      <c r="C67" s="43">
        <v>1800</v>
      </c>
      <c r="D67" s="43">
        <v>313.80000000000007</v>
      </c>
      <c r="E67" s="43">
        <f t="shared" ref="E67:E130" si="4">A67/145.03773800722/0.0254</f>
        <v>6.7861784251967636</v>
      </c>
      <c r="F67" s="43">
        <f t="shared" ref="F67:F130" si="5">B67*2.54</f>
        <v>7.62</v>
      </c>
      <c r="G67" s="43">
        <f t="shared" ref="G67:G130" si="6">C67/0.14503773800722</f>
        <v>12410.563103999841</v>
      </c>
      <c r="H67" s="43">
        <f t="shared" ref="H67:H130" si="7">D67/145.03773800722/0.0254</f>
        <v>85.180111593069796</v>
      </c>
      <c r="I67" s="42"/>
    </row>
    <row r="68" spans="1:9" ht="12.75" customHeight="1">
      <c r="A68" s="43">
        <v>25</v>
      </c>
      <c r="B68" s="43">
        <v>3</v>
      </c>
      <c r="C68" s="43">
        <v>1900</v>
      </c>
      <c r="D68" s="43">
        <v>325.90000000000009</v>
      </c>
      <c r="E68" s="43">
        <f t="shared" si="4"/>
        <v>6.7861784251967636</v>
      </c>
      <c r="F68" s="43">
        <f t="shared" si="5"/>
        <v>7.62</v>
      </c>
      <c r="G68" s="43">
        <f t="shared" si="6"/>
        <v>13100.038831999833</v>
      </c>
      <c r="H68" s="43">
        <f t="shared" si="7"/>
        <v>88.464621950865038</v>
      </c>
      <c r="I68" s="42"/>
    </row>
    <row r="69" spans="1:9" ht="12.75" customHeight="1">
      <c r="A69" s="43">
        <v>25</v>
      </c>
      <c r="B69" s="43">
        <v>3</v>
      </c>
      <c r="C69" s="43">
        <v>2000</v>
      </c>
      <c r="D69" s="43">
        <v>338</v>
      </c>
      <c r="E69" s="43">
        <f t="shared" si="4"/>
        <v>6.7861784251967636</v>
      </c>
      <c r="F69" s="43">
        <f t="shared" si="5"/>
        <v>7.62</v>
      </c>
      <c r="G69" s="43">
        <f t="shared" si="6"/>
        <v>13789.514559999823</v>
      </c>
      <c r="H69" s="43">
        <f t="shared" si="7"/>
        <v>91.749132308660236</v>
      </c>
      <c r="I69" s="42"/>
    </row>
    <row r="70" spans="1:9" ht="12.75" customHeight="1">
      <c r="A70" s="43">
        <v>25</v>
      </c>
      <c r="B70" s="43">
        <v>4</v>
      </c>
      <c r="C70" s="43">
        <v>50</v>
      </c>
      <c r="D70" s="43">
        <v>81</v>
      </c>
      <c r="E70" s="43">
        <f t="shared" si="4"/>
        <v>6.7861784251967636</v>
      </c>
      <c r="F70" s="43">
        <f t="shared" si="5"/>
        <v>10.16</v>
      </c>
      <c r="G70" s="43">
        <f t="shared" si="6"/>
        <v>344.73786399999557</v>
      </c>
      <c r="H70" s="43">
        <f t="shared" si="7"/>
        <v>21.987218097637516</v>
      </c>
      <c r="I70" s="42"/>
    </row>
    <row r="71" spans="1:9" ht="12.75" customHeight="1">
      <c r="A71" s="43">
        <v>25</v>
      </c>
      <c r="B71" s="43">
        <v>4</v>
      </c>
      <c r="C71" s="43">
        <v>60</v>
      </c>
      <c r="D71" s="43">
        <v>85</v>
      </c>
      <c r="E71" s="43">
        <f t="shared" si="4"/>
        <v>6.7861784251967636</v>
      </c>
      <c r="F71" s="43">
        <f t="shared" si="5"/>
        <v>10.16</v>
      </c>
      <c r="G71" s="43">
        <f t="shared" si="6"/>
        <v>413.6854367999947</v>
      </c>
      <c r="H71" s="43">
        <f t="shared" si="7"/>
        <v>23.073006645668993</v>
      </c>
      <c r="I71" s="42"/>
    </row>
    <row r="72" spans="1:9" ht="12.75" customHeight="1">
      <c r="A72" s="43">
        <v>25</v>
      </c>
      <c r="B72" s="43">
        <v>4</v>
      </c>
      <c r="C72" s="43">
        <v>70</v>
      </c>
      <c r="D72" s="43">
        <v>89</v>
      </c>
      <c r="E72" s="43">
        <f t="shared" si="4"/>
        <v>6.7861784251967636</v>
      </c>
      <c r="F72" s="43">
        <f t="shared" si="5"/>
        <v>10.16</v>
      </c>
      <c r="G72" s="43">
        <f t="shared" si="6"/>
        <v>482.63300959999384</v>
      </c>
      <c r="H72" s="43">
        <f t="shared" si="7"/>
        <v>24.158795193700474</v>
      </c>
      <c r="I72" s="42"/>
    </row>
    <row r="73" spans="1:9" ht="12.75" customHeight="1">
      <c r="A73" s="43">
        <v>25</v>
      </c>
      <c r="B73" s="43">
        <v>4</v>
      </c>
      <c r="C73" s="43">
        <v>80</v>
      </c>
      <c r="D73" s="43">
        <v>93</v>
      </c>
      <c r="E73" s="43">
        <f t="shared" si="4"/>
        <v>6.7861784251967636</v>
      </c>
      <c r="F73" s="43">
        <f t="shared" si="5"/>
        <v>10.16</v>
      </c>
      <c r="G73" s="43">
        <f t="shared" si="6"/>
        <v>551.58058239999298</v>
      </c>
      <c r="H73" s="43">
        <f t="shared" si="7"/>
        <v>25.244583741731958</v>
      </c>
      <c r="I73" s="42"/>
    </row>
    <row r="74" spans="1:9" ht="12.75" customHeight="1">
      <c r="A74" s="43">
        <v>25</v>
      </c>
      <c r="B74" s="43">
        <v>4</v>
      </c>
      <c r="C74" s="43">
        <v>90</v>
      </c>
      <c r="D74" s="43">
        <v>97</v>
      </c>
      <c r="E74" s="43">
        <f t="shared" si="4"/>
        <v>6.7861784251967636</v>
      </c>
      <c r="F74" s="43">
        <f t="shared" si="5"/>
        <v>10.16</v>
      </c>
      <c r="G74" s="43">
        <f t="shared" si="6"/>
        <v>620.52815519999206</v>
      </c>
      <c r="H74" s="43">
        <f t="shared" si="7"/>
        <v>26.330372289763439</v>
      </c>
      <c r="I74" s="42"/>
    </row>
    <row r="75" spans="1:9" ht="12.75" customHeight="1">
      <c r="A75" s="43">
        <v>25</v>
      </c>
      <c r="B75" s="43">
        <v>4</v>
      </c>
      <c r="C75" s="43">
        <v>100</v>
      </c>
      <c r="D75" s="43">
        <v>101</v>
      </c>
      <c r="E75" s="43">
        <f t="shared" si="4"/>
        <v>6.7861784251967636</v>
      </c>
      <c r="F75" s="43">
        <f t="shared" si="5"/>
        <v>10.16</v>
      </c>
      <c r="G75" s="43">
        <f t="shared" si="6"/>
        <v>689.47572799999114</v>
      </c>
      <c r="H75" s="43">
        <f t="shared" si="7"/>
        <v>27.416160837794923</v>
      </c>
      <c r="I75" s="42"/>
    </row>
    <row r="76" spans="1:9" ht="12.75" customHeight="1">
      <c r="A76" s="43">
        <v>25</v>
      </c>
      <c r="B76" s="43">
        <v>4</v>
      </c>
      <c r="C76" s="43">
        <v>150</v>
      </c>
      <c r="D76" s="43">
        <v>116.25</v>
      </c>
      <c r="E76" s="43">
        <f t="shared" si="4"/>
        <v>6.7861784251967636</v>
      </c>
      <c r="F76" s="43">
        <f t="shared" si="5"/>
        <v>10.16</v>
      </c>
      <c r="G76" s="43">
        <f t="shared" si="6"/>
        <v>1034.2135919999869</v>
      </c>
      <c r="H76" s="43">
        <f t="shared" si="7"/>
        <v>31.555729677164948</v>
      </c>
      <c r="I76" s="42"/>
    </row>
    <row r="77" spans="1:9" ht="12.75" customHeight="1">
      <c r="A77" s="43">
        <v>25</v>
      </c>
      <c r="B77" s="43">
        <v>4</v>
      </c>
      <c r="C77" s="43">
        <v>200</v>
      </c>
      <c r="D77" s="43">
        <v>131.5</v>
      </c>
      <c r="E77" s="43">
        <f t="shared" si="4"/>
        <v>6.7861784251967636</v>
      </c>
      <c r="F77" s="43">
        <f t="shared" si="5"/>
        <v>10.16</v>
      </c>
      <c r="G77" s="43">
        <f t="shared" si="6"/>
        <v>1378.9514559999823</v>
      </c>
      <c r="H77" s="43">
        <f t="shared" si="7"/>
        <v>35.695298516534976</v>
      </c>
      <c r="I77" s="42"/>
    </row>
    <row r="78" spans="1:9" ht="12.75" customHeight="1">
      <c r="A78" s="43">
        <v>25</v>
      </c>
      <c r="B78" s="43">
        <v>4</v>
      </c>
      <c r="C78" s="43">
        <v>250</v>
      </c>
      <c r="D78" s="43">
        <v>146.75</v>
      </c>
      <c r="E78" s="43">
        <f t="shared" si="4"/>
        <v>6.7861784251967636</v>
      </c>
      <c r="F78" s="43">
        <f t="shared" si="5"/>
        <v>10.16</v>
      </c>
      <c r="G78" s="43">
        <f t="shared" si="6"/>
        <v>1723.6893199999779</v>
      </c>
      <c r="H78" s="43">
        <f t="shared" si="7"/>
        <v>39.834867355905004</v>
      </c>
      <c r="I78" s="42"/>
    </row>
    <row r="79" spans="1:9" ht="12.75" customHeight="1">
      <c r="A79" s="43">
        <v>25</v>
      </c>
      <c r="B79" s="43">
        <v>4</v>
      </c>
      <c r="C79" s="43">
        <v>300</v>
      </c>
      <c r="D79" s="43">
        <v>162</v>
      </c>
      <c r="E79" s="43">
        <f t="shared" si="4"/>
        <v>6.7861784251967636</v>
      </c>
      <c r="F79" s="43">
        <f t="shared" si="5"/>
        <v>10.16</v>
      </c>
      <c r="G79" s="43">
        <f t="shared" si="6"/>
        <v>2068.4271839999737</v>
      </c>
      <c r="H79" s="43">
        <f t="shared" si="7"/>
        <v>43.974436195275032</v>
      </c>
      <c r="I79" s="42"/>
    </row>
    <row r="80" spans="1:9" ht="12.75" customHeight="1">
      <c r="A80" s="43">
        <v>25</v>
      </c>
      <c r="B80" s="43">
        <v>4</v>
      </c>
      <c r="C80" s="43">
        <v>350</v>
      </c>
      <c r="D80" s="43">
        <v>176.25</v>
      </c>
      <c r="E80" s="43">
        <f t="shared" si="4"/>
        <v>6.7861784251967636</v>
      </c>
      <c r="F80" s="43">
        <f t="shared" si="5"/>
        <v>10.16</v>
      </c>
      <c r="G80" s="43">
        <f t="shared" si="6"/>
        <v>2413.1650479999689</v>
      </c>
      <c r="H80" s="43">
        <f t="shared" si="7"/>
        <v>47.842557897637185</v>
      </c>
      <c r="I80" s="42"/>
    </row>
    <row r="81" spans="1:9" ht="12.75" customHeight="1">
      <c r="A81" s="43">
        <v>25</v>
      </c>
      <c r="B81" s="43">
        <v>4</v>
      </c>
      <c r="C81" s="43">
        <v>400</v>
      </c>
      <c r="D81" s="43">
        <v>190.5</v>
      </c>
      <c r="E81" s="43">
        <f t="shared" si="4"/>
        <v>6.7861784251967636</v>
      </c>
      <c r="F81" s="43">
        <f t="shared" si="5"/>
        <v>10.16</v>
      </c>
      <c r="G81" s="43">
        <f t="shared" si="6"/>
        <v>2757.9029119999645</v>
      </c>
      <c r="H81" s="43">
        <f t="shared" si="7"/>
        <v>51.710679599999338</v>
      </c>
      <c r="I81" s="42"/>
    </row>
    <row r="82" spans="1:9" ht="12.75" customHeight="1">
      <c r="A82" s="43">
        <v>25</v>
      </c>
      <c r="B82" s="43">
        <v>4</v>
      </c>
      <c r="C82" s="43">
        <v>450</v>
      </c>
      <c r="D82" s="43">
        <v>204.75</v>
      </c>
      <c r="E82" s="43">
        <f t="shared" si="4"/>
        <v>6.7861784251967636</v>
      </c>
      <c r="F82" s="43">
        <f t="shared" si="5"/>
        <v>10.16</v>
      </c>
      <c r="G82" s="43">
        <f t="shared" si="6"/>
        <v>3102.6407759999602</v>
      </c>
      <c r="H82" s="43">
        <f t="shared" si="7"/>
        <v>55.578801302361498</v>
      </c>
      <c r="I82" s="42"/>
    </row>
    <row r="83" spans="1:9" ht="12.75" customHeight="1">
      <c r="A83" s="43">
        <v>25</v>
      </c>
      <c r="B83" s="43">
        <v>4</v>
      </c>
      <c r="C83" s="43">
        <v>500</v>
      </c>
      <c r="D83" s="43">
        <v>219</v>
      </c>
      <c r="E83" s="43">
        <f t="shared" si="4"/>
        <v>6.7861784251967636</v>
      </c>
      <c r="F83" s="43">
        <f t="shared" si="5"/>
        <v>10.16</v>
      </c>
      <c r="G83" s="43">
        <f t="shared" si="6"/>
        <v>3447.3786399999558</v>
      </c>
      <c r="H83" s="43">
        <f t="shared" si="7"/>
        <v>59.446923004723651</v>
      </c>
      <c r="I83" s="42"/>
    </row>
    <row r="84" spans="1:9" ht="12.75" customHeight="1">
      <c r="A84" s="43">
        <v>25</v>
      </c>
      <c r="B84" s="43">
        <v>4</v>
      </c>
      <c r="C84" s="43">
        <v>550</v>
      </c>
      <c r="D84" s="43">
        <v>231.7</v>
      </c>
      <c r="E84" s="43">
        <f t="shared" si="4"/>
        <v>6.7861784251967636</v>
      </c>
      <c r="F84" s="43">
        <f t="shared" si="5"/>
        <v>10.16</v>
      </c>
      <c r="G84" s="43">
        <f t="shared" si="6"/>
        <v>3792.1165039999514</v>
      </c>
      <c r="H84" s="43">
        <f t="shared" si="7"/>
        <v>62.894301644723598</v>
      </c>
      <c r="I84" s="42"/>
    </row>
    <row r="85" spans="1:9" ht="12.75" customHeight="1">
      <c r="A85" s="43">
        <v>25</v>
      </c>
      <c r="B85" s="43">
        <v>4</v>
      </c>
      <c r="C85" s="43">
        <v>600</v>
      </c>
      <c r="D85" s="43">
        <v>244.39999999999998</v>
      </c>
      <c r="E85" s="43">
        <f t="shared" si="4"/>
        <v>6.7861784251967636</v>
      </c>
      <c r="F85" s="43">
        <f t="shared" si="5"/>
        <v>10.16</v>
      </c>
      <c r="G85" s="43">
        <f t="shared" si="6"/>
        <v>4136.8543679999475</v>
      </c>
      <c r="H85" s="43">
        <f t="shared" si="7"/>
        <v>66.341680284723552</v>
      </c>
      <c r="I85" s="42"/>
    </row>
    <row r="86" spans="1:9" ht="12.75" customHeight="1">
      <c r="A86" s="43">
        <v>25</v>
      </c>
      <c r="B86" s="43">
        <v>4</v>
      </c>
      <c r="C86" s="43">
        <v>650</v>
      </c>
      <c r="D86" s="43">
        <v>257.09999999999997</v>
      </c>
      <c r="E86" s="43">
        <f t="shared" si="4"/>
        <v>6.7861784251967636</v>
      </c>
      <c r="F86" s="43">
        <f t="shared" si="5"/>
        <v>10.16</v>
      </c>
      <c r="G86" s="43">
        <f t="shared" si="6"/>
        <v>4481.5922319999427</v>
      </c>
      <c r="H86" s="43">
        <f t="shared" si="7"/>
        <v>69.789058924723506</v>
      </c>
      <c r="I86" s="42"/>
    </row>
    <row r="87" spans="1:9" ht="12.75" customHeight="1">
      <c r="A87" s="43">
        <v>25</v>
      </c>
      <c r="B87" s="43">
        <v>4</v>
      </c>
      <c r="C87" s="43">
        <v>700</v>
      </c>
      <c r="D87" s="43">
        <v>269.79999999999995</v>
      </c>
      <c r="E87" s="43">
        <f t="shared" si="4"/>
        <v>6.7861784251967636</v>
      </c>
      <c r="F87" s="43">
        <f t="shared" si="5"/>
        <v>10.16</v>
      </c>
      <c r="G87" s="43">
        <f t="shared" si="6"/>
        <v>4826.3300959999378</v>
      </c>
      <c r="H87" s="43">
        <f t="shared" si="7"/>
        <v>73.23643756472346</v>
      </c>
      <c r="I87" s="42"/>
    </row>
    <row r="88" spans="1:9" ht="12.75" customHeight="1">
      <c r="A88" s="43">
        <v>25</v>
      </c>
      <c r="B88" s="43">
        <v>4</v>
      </c>
      <c r="C88" s="43">
        <v>750</v>
      </c>
      <c r="D88" s="43">
        <v>282.49999999999994</v>
      </c>
      <c r="E88" s="43">
        <f t="shared" si="4"/>
        <v>6.7861784251967636</v>
      </c>
      <c r="F88" s="43">
        <f t="shared" si="5"/>
        <v>10.16</v>
      </c>
      <c r="G88" s="43">
        <f t="shared" si="6"/>
        <v>5171.0679599999339</v>
      </c>
      <c r="H88" s="43">
        <f t="shared" si="7"/>
        <v>76.683816204723399</v>
      </c>
      <c r="I88" s="42"/>
    </row>
    <row r="89" spans="1:9" ht="12.75" customHeight="1">
      <c r="A89" s="43">
        <v>25</v>
      </c>
      <c r="B89" s="43">
        <v>4</v>
      </c>
      <c r="C89" s="43">
        <v>800</v>
      </c>
      <c r="D89" s="43">
        <v>295.19999999999993</v>
      </c>
      <c r="E89" s="43">
        <f t="shared" si="4"/>
        <v>6.7861784251967636</v>
      </c>
      <c r="F89" s="43">
        <f t="shared" si="5"/>
        <v>10.16</v>
      </c>
      <c r="G89" s="43">
        <f t="shared" si="6"/>
        <v>5515.8058239999291</v>
      </c>
      <c r="H89" s="43">
        <f t="shared" si="7"/>
        <v>80.131194844723368</v>
      </c>
      <c r="I89" s="42"/>
    </row>
    <row r="90" spans="1:9" ht="12.75" customHeight="1">
      <c r="A90" s="43">
        <v>25</v>
      </c>
      <c r="B90" s="43">
        <v>4</v>
      </c>
      <c r="C90" s="43">
        <v>850</v>
      </c>
      <c r="D90" s="43">
        <v>307.89999999999992</v>
      </c>
      <c r="E90" s="43">
        <f t="shared" si="4"/>
        <v>6.7861784251967636</v>
      </c>
      <c r="F90" s="43">
        <f t="shared" si="5"/>
        <v>10.16</v>
      </c>
      <c r="G90" s="43">
        <f t="shared" si="6"/>
        <v>5860.5436879999252</v>
      </c>
      <c r="H90" s="43">
        <f t="shared" si="7"/>
        <v>83.578573484723321</v>
      </c>
      <c r="I90" s="42"/>
    </row>
    <row r="91" spans="1:9" ht="12.75" customHeight="1">
      <c r="A91" s="43">
        <v>25</v>
      </c>
      <c r="B91" s="43">
        <v>4</v>
      </c>
      <c r="C91" s="43">
        <v>900</v>
      </c>
      <c r="D91" s="43">
        <v>320.59999999999991</v>
      </c>
      <c r="E91" s="43">
        <f t="shared" si="4"/>
        <v>6.7861784251967636</v>
      </c>
      <c r="F91" s="43">
        <f t="shared" si="5"/>
        <v>10.16</v>
      </c>
      <c r="G91" s="43">
        <f t="shared" si="6"/>
        <v>6205.2815519999203</v>
      </c>
      <c r="H91" s="43">
        <f t="shared" si="7"/>
        <v>87.025952124723261</v>
      </c>
      <c r="I91" s="42"/>
    </row>
    <row r="92" spans="1:9" ht="12.75" customHeight="1">
      <c r="A92" s="43">
        <v>25</v>
      </c>
      <c r="B92" s="43">
        <v>4</v>
      </c>
      <c r="C92" s="43">
        <v>950</v>
      </c>
      <c r="D92" s="43">
        <v>333.2999999999999</v>
      </c>
      <c r="E92" s="43">
        <f t="shared" si="4"/>
        <v>6.7861784251967636</v>
      </c>
      <c r="F92" s="43">
        <f t="shared" si="5"/>
        <v>10.16</v>
      </c>
      <c r="G92" s="43">
        <f t="shared" si="6"/>
        <v>6550.0194159999164</v>
      </c>
      <c r="H92" s="43">
        <f t="shared" si="7"/>
        <v>90.473330764723215</v>
      </c>
      <c r="I92" s="42"/>
    </row>
    <row r="93" spans="1:9" ht="12.75" customHeight="1">
      <c r="A93" s="43">
        <v>25</v>
      </c>
      <c r="B93" s="43">
        <v>4</v>
      </c>
      <c r="C93" s="43">
        <v>1000</v>
      </c>
      <c r="D93" s="43">
        <v>346</v>
      </c>
      <c r="E93" s="43">
        <f t="shared" si="4"/>
        <v>6.7861784251967636</v>
      </c>
      <c r="F93" s="43">
        <f t="shared" si="5"/>
        <v>10.16</v>
      </c>
      <c r="G93" s="43">
        <f t="shared" si="6"/>
        <v>6894.7572799999116</v>
      </c>
      <c r="H93" s="43">
        <f t="shared" si="7"/>
        <v>93.920709404723198</v>
      </c>
      <c r="I93" s="42"/>
    </row>
    <row r="94" spans="1:9" ht="12.75" customHeight="1">
      <c r="A94" s="43">
        <v>25</v>
      </c>
      <c r="B94" s="43">
        <v>4</v>
      </c>
      <c r="C94" s="43">
        <v>1100</v>
      </c>
      <c r="D94" s="43">
        <v>368.1</v>
      </c>
      <c r="E94" s="43">
        <f t="shared" si="4"/>
        <v>6.7861784251967636</v>
      </c>
      <c r="F94" s="43">
        <f t="shared" si="5"/>
        <v>10.16</v>
      </c>
      <c r="G94" s="43">
        <f t="shared" si="6"/>
        <v>7584.2330079999028</v>
      </c>
      <c r="H94" s="43">
        <f t="shared" si="7"/>
        <v>99.919691132597137</v>
      </c>
      <c r="I94" s="42"/>
    </row>
    <row r="95" spans="1:9" ht="12.75" customHeight="1">
      <c r="A95" s="43">
        <v>25</v>
      </c>
      <c r="B95" s="43">
        <v>4</v>
      </c>
      <c r="C95" s="43">
        <v>1200</v>
      </c>
      <c r="D95" s="43">
        <v>390.20000000000005</v>
      </c>
      <c r="E95" s="43">
        <f t="shared" si="4"/>
        <v>6.7861784251967636</v>
      </c>
      <c r="F95" s="43">
        <f t="shared" si="5"/>
        <v>10.16</v>
      </c>
      <c r="G95" s="43">
        <f t="shared" si="6"/>
        <v>8273.708735999895</v>
      </c>
      <c r="H95" s="43">
        <f t="shared" si="7"/>
        <v>105.91867286047109</v>
      </c>
      <c r="I95" s="42"/>
    </row>
    <row r="96" spans="1:9" ht="12.75" customHeight="1">
      <c r="A96" s="43">
        <v>25</v>
      </c>
      <c r="B96" s="43">
        <v>4</v>
      </c>
      <c r="C96" s="43">
        <v>1300</v>
      </c>
      <c r="D96" s="43">
        <v>412.30000000000007</v>
      </c>
      <c r="E96" s="43">
        <f t="shared" si="4"/>
        <v>6.7861784251967636</v>
      </c>
      <c r="F96" s="43">
        <f t="shared" si="5"/>
        <v>10.16</v>
      </c>
      <c r="G96" s="43">
        <f t="shared" si="6"/>
        <v>8963.1844639998853</v>
      </c>
      <c r="H96" s="43">
        <f t="shared" si="7"/>
        <v>111.91765458834503</v>
      </c>
      <c r="I96" s="42"/>
    </row>
    <row r="97" spans="1:9" ht="12.75" customHeight="1">
      <c r="A97" s="43">
        <v>25</v>
      </c>
      <c r="B97" s="43">
        <v>4</v>
      </c>
      <c r="C97" s="43">
        <v>1400</v>
      </c>
      <c r="D97" s="43">
        <v>434.40000000000009</v>
      </c>
      <c r="E97" s="43">
        <f t="shared" si="4"/>
        <v>6.7861784251967636</v>
      </c>
      <c r="F97" s="43">
        <f t="shared" si="5"/>
        <v>10.16</v>
      </c>
      <c r="G97" s="43">
        <f t="shared" si="6"/>
        <v>9652.6601919998757</v>
      </c>
      <c r="H97" s="43">
        <f t="shared" si="7"/>
        <v>117.91663631621898</v>
      </c>
      <c r="I97" s="42"/>
    </row>
    <row r="98" spans="1:9" ht="12.75" customHeight="1">
      <c r="A98" s="43">
        <v>25</v>
      </c>
      <c r="B98" s="43">
        <v>4</v>
      </c>
      <c r="C98" s="43">
        <v>1500</v>
      </c>
      <c r="D98" s="43">
        <v>456.50000000000011</v>
      </c>
      <c r="E98" s="43">
        <f t="shared" si="4"/>
        <v>6.7861784251967636</v>
      </c>
      <c r="F98" s="43">
        <f t="shared" si="5"/>
        <v>10.16</v>
      </c>
      <c r="G98" s="43">
        <f t="shared" si="6"/>
        <v>10342.135919999868</v>
      </c>
      <c r="H98" s="43">
        <f t="shared" si="7"/>
        <v>123.91561804409292</v>
      </c>
      <c r="I98" s="42"/>
    </row>
    <row r="99" spans="1:9" ht="12.75" customHeight="1">
      <c r="A99" s="43">
        <v>25</v>
      </c>
      <c r="B99" s="43">
        <v>4</v>
      </c>
      <c r="C99" s="43">
        <v>1600</v>
      </c>
      <c r="D99" s="43">
        <v>478.60000000000014</v>
      </c>
      <c r="E99" s="43">
        <f t="shared" si="4"/>
        <v>6.7861784251967636</v>
      </c>
      <c r="F99" s="43">
        <f t="shared" si="5"/>
        <v>10.16</v>
      </c>
      <c r="G99" s="43">
        <f t="shared" si="6"/>
        <v>11031.611647999858</v>
      </c>
      <c r="H99" s="43">
        <f t="shared" si="7"/>
        <v>129.91459977196686</v>
      </c>
      <c r="I99" s="42"/>
    </row>
    <row r="100" spans="1:9" ht="12.75" customHeight="1">
      <c r="A100" s="43">
        <v>25</v>
      </c>
      <c r="B100" s="43">
        <v>4</v>
      </c>
      <c r="C100" s="43">
        <v>1700</v>
      </c>
      <c r="D100" s="43">
        <v>500.70000000000016</v>
      </c>
      <c r="E100" s="43">
        <f t="shared" si="4"/>
        <v>6.7861784251967636</v>
      </c>
      <c r="F100" s="43">
        <f t="shared" si="5"/>
        <v>10.16</v>
      </c>
      <c r="G100" s="43">
        <f t="shared" si="6"/>
        <v>11721.08737599985</v>
      </c>
      <c r="H100" s="43">
        <f t="shared" si="7"/>
        <v>135.9135814998408</v>
      </c>
      <c r="I100" s="42"/>
    </row>
    <row r="101" spans="1:9" ht="12.75" customHeight="1">
      <c r="A101" s="43">
        <v>25</v>
      </c>
      <c r="B101" s="43">
        <v>4</v>
      </c>
      <c r="C101" s="43">
        <v>1800</v>
      </c>
      <c r="D101" s="43">
        <v>522.80000000000018</v>
      </c>
      <c r="E101" s="43">
        <f t="shared" si="4"/>
        <v>6.7861784251967636</v>
      </c>
      <c r="F101" s="43">
        <f t="shared" si="5"/>
        <v>10.16</v>
      </c>
      <c r="G101" s="43">
        <f t="shared" si="6"/>
        <v>12410.563103999841</v>
      </c>
      <c r="H101" s="43">
        <f t="shared" si="7"/>
        <v>141.91256322771477</v>
      </c>
      <c r="I101" s="42"/>
    </row>
    <row r="102" spans="1:9" ht="12.75" customHeight="1">
      <c r="A102" s="43">
        <v>25</v>
      </c>
      <c r="B102" s="43">
        <v>4</v>
      </c>
      <c r="C102" s="43">
        <v>1900</v>
      </c>
      <c r="D102" s="43">
        <v>544.9000000000002</v>
      </c>
      <c r="E102" s="43">
        <f t="shared" si="4"/>
        <v>6.7861784251967636</v>
      </c>
      <c r="F102" s="43">
        <f t="shared" si="5"/>
        <v>10.16</v>
      </c>
      <c r="G102" s="43">
        <f t="shared" si="6"/>
        <v>13100.038831999833</v>
      </c>
      <c r="H102" s="43">
        <f t="shared" si="7"/>
        <v>147.91154495558871</v>
      </c>
      <c r="I102" s="42"/>
    </row>
    <row r="103" spans="1:9" ht="12.75" customHeight="1">
      <c r="A103" s="43">
        <v>25</v>
      </c>
      <c r="B103" s="43">
        <v>4</v>
      </c>
      <c r="C103" s="43">
        <v>2000</v>
      </c>
      <c r="D103" s="43">
        <v>567</v>
      </c>
      <c r="E103" s="43">
        <f t="shared" si="4"/>
        <v>6.7861784251967636</v>
      </c>
      <c r="F103" s="43">
        <f t="shared" si="5"/>
        <v>10.16</v>
      </c>
      <c r="G103" s="43">
        <f t="shared" si="6"/>
        <v>13789.514559999823</v>
      </c>
      <c r="H103" s="43">
        <f t="shared" si="7"/>
        <v>153.91052668346259</v>
      </c>
      <c r="I103" s="42"/>
    </row>
    <row r="104" spans="1:9" ht="12.75" customHeight="1">
      <c r="A104" s="43">
        <v>25</v>
      </c>
      <c r="B104" s="43">
        <v>5</v>
      </c>
      <c r="C104" s="43">
        <v>50</v>
      </c>
      <c r="D104" s="43">
        <v>97</v>
      </c>
      <c r="E104" s="43">
        <f t="shared" si="4"/>
        <v>6.7861784251967636</v>
      </c>
      <c r="F104" s="43">
        <f t="shared" si="5"/>
        <v>12.7</v>
      </c>
      <c r="G104" s="43">
        <f t="shared" si="6"/>
        <v>344.73786399999557</v>
      </c>
      <c r="H104" s="43">
        <f t="shared" si="7"/>
        <v>26.330372289763439</v>
      </c>
      <c r="I104" s="42"/>
    </row>
    <row r="105" spans="1:9" ht="12.75" customHeight="1">
      <c r="A105" s="43">
        <v>25</v>
      </c>
      <c r="B105" s="43">
        <v>5</v>
      </c>
      <c r="C105" s="43">
        <v>60</v>
      </c>
      <c r="D105" s="43">
        <v>102.8</v>
      </c>
      <c r="E105" s="43">
        <f t="shared" si="4"/>
        <v>6.7861784251967636</v>
      </c>
      <c r="F105" s="43">
        <f t="shared" si="5"/>
        <v>12.7</v>
      </c>
      <c r="G105" s="43">
        <f t="shared" si="6"/>
        <v>413.6854367999947</v>
      </c>
      <c r="H105" s="43">
        <f t="shared" si="7"/>
        <v>27.904765684409089</v>
      </c>
      <c r="I105" s="42"/>
    </row>
    <row r="106" spans="1:9" ht="12.75" customHeight="1">
      <c r="A106" s="43">
        <v>25</v>
      </c>
      <c r="B106" s="43">
        <v>5</v>
      </c>
      <c r="C106" s="43">
        <v>70</v>
      </c>
      <c r="D106" s="43">
        <v>108.6</v>
      </c>
      <c r="E106" s="43">
        <f t="shared" si="4"/>
        <v>6.7861784251967636</v>
      </c>
      <c r="F106" s="43">
        <f t="shared" si="5"/>
        <v>12.7</v>
      </c>
      <c r="G106" s="43">
        <f t="shared" si="6"/>
        <v>482.63300959999384</v>
      </c>
      <c r="H106" s="43">
        <f t="shared" si="7"/>
        <v>29.479159079054739</v>
      </c>
      <c r="I106" s="42"/>
    </row>
    <row r="107" spans="1:9" ht="12.75" customHeight="1">
      <c r="A107" s="43">
        <v>25</v>
      </c>
      <c r="B107" s="43">
        <v>5</v>
      </c>
      <c r="C107" s="43">
        <v>80</v>
      </c>
      <c r="D107" s="43">
        <v>114.39999999999999</v>
      </c>
      <c r="E107" s="43">
        <f t="shared" si="4"/>
        <v>6.7861784251967636</v>
      </c>
      <c r="F107" s="43">
        <f t="shared" si="5"/>
        <v>12.7</v>
      </c>
      <c r="G107" s="43">
        <f t="shared" si="6"/>
        <v>551.58058239999298</v>
      </c>
      <c r="H107" s="43">
        <f t="shared" si="7"/>
        <v>31.053552473700389</v>
      </c>
      <c r="I107" s="42"/>
    </row>
    <row r="108" spans="1:9" ht="12.75" customHeight="1">
      <c r="A108" s="43">
        <v>25</v>
      </c>
      <c r="B108" s="43">
        <v>5</v>
      </c>
      <c r="C108" s="43">
        <v>90</v>
      </c>
      <c r="D108" s="43">
        <v>120.19999999999999</v>
      </c>
      <c r="E108" s="43">
        <f t="shared" si="4"/>
        <v>6.7861784251967636</v>
      </c>
      <c r="F108" s="43">
        <f t="shared" si="5"/>
        <v>12.7</v>
      </c>
      <c r="G108" s="43">
        <f t="shared" si="6"/>
        <v>620.52815519999206</v>
      </c>
      <c r="H108" s="43">
        <f t="shared" si="7"/>
        <v>32.627945868346032</v>
      </c>
      <c r="I108" s="42"/>
    </row>
    <row r="109" spans="1:9" ht="12.75" customHeight="1">
      <c r="A109" s="43">
        <v>25</v>
      </c>
      <c r="B109" s="43">
        <v>5</v>
      </c>
      <c r="C109" s="43">
        <v>100</v>
      </c>
      <c r="D109" s="43">
        <v>126</v>
      </c>
      <c r="E109" s="43">
        <f t="shared" si="4"/>
        <v>6.7861784251967636</v>
      </c>
      <c r="F109" s="43">
        <f t="shared" si="5"/>
        <v>12.7</v>
      </c>
      <c r="G109" s="43">
        <f t="shared" si="6"/>
        <v>689.47572799999114</v>
      </c>
      <c r="H109" s="43">
        <f t="shared" si="7"/>
        <v>34.202339262991686</v>
      </c>
      <c r="I109" s="42"/>
    </row>
    <row r="110" spans="1:9" ht="12.75" customHeight="1">
      <c r="A110" s="43">
        <v>25</v>
      </c>
      <c r="B110" s="43">
        <v>5</v>
      </c>
      <c r="C110" s="43">
        <v>150</v>
      </c>
      <c r="D110" s="43">
        <v>150.75</v>
      </c>
      <c r="E110" s="43">
        <f t="shared" si="4"/>
        <v>6.7861784251967636</v>
      </c>
      <c r="F110" s="43">
        <f t="shared" si="5"/>
        <v>12.7</v>
      </c>
      <c r="G110" s="43">
        <f t="shared" si="6"/>
        <v>1034.2135919999869</v>
      </c>
      <c r="H110" s="43">
        <f t="shared" si="7"/>
        <v>40.920655903936478</v>
      </c>
      <c r="I110" s="42"/>
    </row>
    <row r="111" spans="1:9" ht="12.75" customHeight="1">
      <c r="A111" s="43">
        <v>25</v>
      </c>
      <c r="B111" s="43">
        <v>5</v>
      </c>
      <c r="C111" s="43">
        <v>200</v>
      </c>
      <c r="D111" s="43">
        <v>175.5</v>
      </c>
      <c r="E111" s="43">
        <f t="shared" si="4"/>
        <v>6.7861784251967636</v>
      </c>
      <c r="F111" s="43">
        <f t="shared" si="5"/>
        <v>12.7</v>
      </c>
      <c r="G111" s="43">
        <f t="shared" si="6"/>
        <v>1378.9514559999823</v>
      </c>
      <c r="H111" s="43">
        <f t="shared" si="7"/>
        <v>47.638972544881277</v>
      </c>
      <c r="I111" s="42"/>
    </row>
    <row r="112" spans="1:9" ht="12.75" customHeight="1">
      <c r="A112" s="43">
        <v>25</v>
      </c>
      <c r="B112" s="43">
        <v>5</v>
      </c>
      <c r="C112" s="43">
        <v>250</v>
      </c>
      <c r="D112" s="43">
        <v>200.25</v>
      </c>
      <c r="E112" s="43">
        <f t="shared" si="4"/>
        <v>6.7861784251967636</v>
      </c>
      <c r="F112" s="43">
        <f t="shared" si="5"/>
        <v>12.7</v>
      </c>
      <c r="G112" s="43">
        <f t="shared" si="6"/>
        <v>1723.6893199999779</v>
      </c>
      <c r="H112" s="43">
        <f t="shared" si="7"/>
        <v>54.357289185826069</v>
      </c>
      <c r="I112" s="42"/>
    </row>
    <row r="113" spans="1:9" ht="12.75" customHeight="1">
      <c r="A113" s="43">
        <v>25</v>
      </c>
      <c r="B113" s="43">
        <v>5</v>
      </c>
      <c r="C113" s="43">
        <v>300</v>
      </c>
      <c r="D113" s="43">
        <v>225</v>
      </c>
      <c r="E113" s="43">
        <f t="shared" si="4"/>
        <v>6.7861784251967636</v>
      </c>
      <c r="F113" s="43">
        <f t="shared" si="5"/>
        <v>12.7</v>
      </c>
      <c r="G113" s="43">
        <f t="shared" si="6"/>
        <v>2068.4271839999737</v>
      </c>
      <c r="H113" s="43">
        <f t="shared" si="7"/>
        <v>61.075605826770868</v>
      </c>
      <c r="I113" s="42"/>
    </row>
    <row r="114" spans="1:9" ht="12.75" customHeight="1">
      <c r="A114" s="43">
        <v>25</v>
      </c>
      <c r="B114" s="43">
        <v>5</v>
      </c>
      <c r="C114" s="43">
        <v>350</v>
      </c>
      <c r="D114" s="43">
        <v>243.75</v>
      </c>
      <c r="E114" s="43">
        <f t="shared" si="4"/>
        <v>6.7861784251967636</v>
      </c>
      <c r="F114" s="43">
        <f t="shared" si="5"/>
        <v>12.7</v>
      </c>
      <c r="G114" s="43">
        <f t="shared" si="6"/>
        <v>2413.1650479999689</v>
      </c>
      <c r="H114" s="43">
        <f t="shared" si="7"/>
        <v>66.16523964566845</v>
      </c>
      <c r="I114" s="42"/>
    </row>
    <row r="115" spans="1:9" ht="12.75" customHeight="1">
      <c r="A115" s="43">
        <v>25</v>
      </c>
      <c r="B115" s="43">
        <v>5</v>
      </c>
      <c r="C115" s="43">
        <v>400</v>
      </c>
      <c r="D115" s="43">
        <v>262.5</v>
      </c>
      <c r="E115" s="43">
        <f t="shared" si="4"/>
        <v>6.7861784251967636</v>
      </c>
      <c r="F115" s="43">
        <f t="shared" si="5"/>
        <v>12.7</v>
      </c>
      <c r="G115" s="43">
        <f t="shared" si="6"/>
        <v>2757.9029119999645</v>
      </c>
      <c r="H115" s="43">
        <f t="shared" si="7"/>
        <v>71.254873464566018</v>
      </c>
      <c r="I115" s="42"/>
    </row>
    <row r="116" spans="1:9" ht="12.75" customHeight="1">
      <c r="A116" s="43">
        <v>25</v>
      </c>
      <c r="B116" s="43">
        <v>5</v>
      </c>
      <c r="C116" s="43">
        <v>450</v>
      </c>
      <c r="D116" s="43">
        <v>281.25</v>
      </c>
      <c r="E116" s="43">
        <f t="shared" si="4"/>
        <v>6.7861784251967636</v>
      </c>
      <c r="F116" s="43">
        <f t="shared" si="5"/>
        <v>12.7</v>
      </c>
      <c r="G116" s="43">
        <f t="shared" si="6"/>
        <v>3102.6407759999602</v>
      </c>
      <c r="H116" s="43">
        <f t="shared" si="7"/>
        <v>76.344507283463585</v>
      </c>
      <c r="I116" s="42"/>
    </row>
    <row r="117" spans="1:9" ht="12.75" customHeight="1">
      <c r="A117" s="43">
        <v>25</v>
      </c>
      <c r="B117" s="43">
        <v>5</v>
      </c>
      <c r="C117" s="43">
        <v>500</v>
      </c>
      <c r="D117" s="43">
        <v>300</v>
      </c>
      <c r="E117" s="43">
        <f t="shared" si="4"/>
        <v>6.7861784251967636</v>
      </c>
      <c r="F117" s="43">
        <f t="shared" si="5"/>
        <v>12.7</v>
      </c>
      <c r="G117" s="43">
        <f t="shared" si="6"/>
        <v>3447.3786399999558</v>
      </c>
      <c r="H117" s="43">
        <f t="shared" si="7"/>
        <v>81.434141102361153</v>
      </c>
      <c r="I117" s="42"/>
    </row>
    <row r="118" spans="1:9" ht="12.75" customHeight="1">
      <c r="A118" s="43">
        <v>25</v>
      </c>
      <c r="B118" s="43">
        <v>5</v>
      </c>
      <c r="C118" s="43">
        <v>550</v>
      </c>
      <c r="D118" s="43">
        <v>321.8</v>
      </c>
      <c r="E118" s="43">
        <f t="shared" si="4"/>
        <v>6.7861784251967636</v>
      </c>
      <c r="F118" s="43">
        <f t="shared" si="5"/>
        <v>12.7</v>
      </c>
      <c r="G118" s="43">
        <f t="shared" si="6"/>
        <v>3792.1165039999514</v>
      </c>
      <c r="H118" s="43">
        <f t="shared" si="7"/>
        <v>87.351688689132729</v>
      </c>
      <c r="I118" s="42"/>
    </row>
    <row r="119" spans="1:9" ht="12.75" customHeight="1">
      <c r="A119" s="43">
        <v>25</v>
      </c>
      <c r="B119" s="43">
        <v>5</v>
      </c>
      <c r="C119" s="43">
        <v>600</v>
      </c>
      <c r="D119" s="43">
        <v>343.6</v>
      </c>
      <c r="E119" s="43">
        <f t="shared" si="4"/>
        <v>6.7861784251967636</v>
      </c>
      <c r="F119" s="43">
        <f t="shared" si="5"/>
        <v>12.7</v>
      </c>
      <c r="G119" s="43">
        <f t="shared" si="6"/>
        <v>4136.8543679999475</v>
      </c>
      <c r="H119" s="43">
        <f t="shared" si="7"/>
        <v>93.269236275904333</v>
      </c>
      <c r="I119" s="42"/>
    </row>
    <row r="120" spans="1:9" ht="12.75" customHeight="1">
      <c r="A120" s="43">
        <v>25</v>
      </c>
      <c r="B120" s="43">
        <v>5</v>
      </c>
      <c r="C120" s="43">
        <v>650</v>
      </c>
      <c r="D120" s="43">
        <v>365.40000000000003</v>
      </c>
      <c r="E120" s="43">
        <f t="shared" si="4"/>
        <v>6.7861784251967636</v>
      </c>
      <c r="F120" s="43">
        <f t="shared" si="5"/>
        <v>12.7</v>
      </c>
      <c r="G120" s="43">
        <f t="shared" si="6"/>
        <v>4481.5922319999427</v>
      </c>
      <c r="H120" s="43">
        <f t="shared" si="7"/>
        <v>99.18678386267591</v>
      </c>
      <c r="I120" s="42"/>
    </row>
    <row r="121" spans="1:9" ht="12.75" customHeight="1">
      <c r="A121" s="43">
        <v>25</v>
      </c>
      <c r="B121" s="43">
        <v>5</v>
      </c>
      <c r="C121" s="43">
        <v>700</v>
      </c>
      <c r="D121" s="43">
        <v>387.20000000000005</v>
      </c>
      <c r="E121" s="43">
        <f t="shared" si="4"/>
        <v>6.7861784251967636</v>
      </c>
      <c r="F121" s="43">
        <f t="shared" si="5"/>
        <v>12.7</v>
      </c>
      <c r="G121" s="43">
        <f t="shared" si="6"/>
        <v>4826.3300959999378</v>
      </c>
      <c r="H121" s="43">
        <f t="shared" si="7"/>
        <v>105.10433144944749</v>
      </c>
      <c r="I121" s="42"/>
    </row>
    <row r="122" spans="1:9" ht="12.75" customHeight="1">
      <c r="A122" s="43">
        <v>25</v>
      </c>
      <c r="B122" s="43">
        <v>5</v>
      </c>
      <c r="C122" s="43">
        <v>750</v>
      </c>
      <c r="D122" s="43">
        <v>409.00000000000006</v>
      </c>
      <c r="E122" s="43">
        <f t="shared" si="4"/>
        <v>6.7861784251967636</v>
      </c>
      <c r="F122" s="43">
        <f t="shared" si="5"/>
        <v>12.7</v>
      </c>
      <c r="G122" s="43">
        <f t="shared" si="6"/>
        <v>5171.0679599999339</v>
      </c>
      <c r="H122" s="43">
        <f t="shared" si="7"/>
        <v>111.02187903621906</v>
      </c>
      <c r="I122" s="42"/>
    </row>
    <row r="123" spans="1:9" ht="12.75" customHeight="1">
      <c r="A123" s="43">
        <v>25</v>
      </c>
      <c r="B123" s="43">
        <v>5</v>
      </c>
      <c r="C123" s="43">
        <v>800</v>
      </c>
      <c r="D123" s="43">
        <v>430.80000000000007</v>
      </c>
      <c r="E123" s="43">
        <f t="shared" si="4"/>
        <v>6.7861784251967636</v>
      </c>
      <c r="F123" s="43">
        <f t="shared" si="5"/>
        <v>12.7</v>
      </c>
      <c r="G123" s="43">
        <f t="shared" si="6"/>
        <v>5515.8058239999291</v>
      </c>
      <c r="H123" s="43">
        <f t="shared" si="7"/>
        <v>116.93942662299064</v>
      </c>
      <c r="I123" s="42"/>
    </row>
    <row r="124" spans="1:9" ht="12.75" customHeight="1">
      <c r="A124" s="43">
        <v>25</v>
      </c>
      <c r="B124" s="43">
        <v>5</v>
      </c>
      <c r="C124" s="43">
        <v>850</v>
      </c>
      <c r="D124" s="43">
        <v>452.60000000000008</v>
      </c>
      <c r="E124" s="43">
        <f t="shared" si="4"/>
        <v>6.7861784251967636</v>
      </c>
      <c r="F124" s="43">
        <f t="shared" si="5"/>
        <v>12.7</v>
      </c>
      <c r="G124" s="43">
        <f t="shared" si="6"/>
        <v>5860.5436879999252</v>
      </c>
      <c r="H124" s="43">
        <f t="shared" si="7"/>
        <v>122.85697420976221</v>
      </c>
      <c r="I124" s="42"/>
    </row>
    <row r="125" spans="1:9" ht="12.75" customHeight="1">
      <c r="A125" s="43">
        <v>25</v>
      </c>
      <c r="B125" s="43">
        <v>5</v>
      </c>
      <c r="C125" s="43">
        <v>900</v>
      </c>
      <c r="D125" s="43">
        <v>474.40000000000009</v>
      </c>
      <c r="E125" s="43">
        <f t="shared" si="4"/>
        <v>6.7861784251967636</v>
      </c>
      <c r="F125" s="43">
        <f t="shared" si="5"/>
        <v>12.7</v>
      </c>
      <c r="G125" s="43">
        <f t="shared" si="6"/>
        <v>6205.2815519999203</v>
      </c>
      <c r="H125" s="43">
        <f t="shared" si="7"/>
        <v>128.7745217965338</v>
      </c>
      <c r="I125" s="42"/>
    </row>
    <row r="126" spans="1:9" ht="12.75" customHeight="1">
      <c r="A126" s="43">
        <v>25</v>
      </c>
      <c r="B126" s="43">
        <v>5</v>
      </c>
      <c r="C126" s="43">
        <v>950</v>
      </c>
      <c r="D126" s="43">
        <v>496.2000000000001</v>
      </c>
      <c r="E126" s="43">
        <f t="shared" si="4"/>
        <v>6.7861784251967636</v>
      </c>
      <c r="F126" s="43">
        <f t="shared" si="5"/>
        <v>12.7</v>
      </c>
      <c r="G126" s="43">
        <f t="shared" si="6"/>
        <v>6550.0194159999164</v>
      </c>
      <c r="H126" s="43">
        <f t="shared" si="7"/>
        <v>134.69206938330538</v>
      </c>
      <c r="I126" s="42"/>
    </row>
    <row r="127" spans="1:9" ht="12.75" customHeight="1">
      <c r="A127" s="43">
        <v>25</v>
      </c>
      <c r="B127" s="43">
        <v>5</v>
      </c>
      <c r="C127" s="43">
        <v>1000</v>
      </c>
      <c r="D127" s="43">
        <v>518</v>
      </c>
      <c r="E127" s="43">
        <f t="shared" si="4"/>
        <v>6.7861784251967636</v>
      </c>
      <c r="F127" s="43">
        <f t="shared" si="5"/>
        <v>12.7</v>
      </c>
      <c r="G127" s="43">
        <f t="shared" si="6"/>
        <v>6894.7572799999116</v>
      </c>
      <c r="H127" s="43">
        <f t="shared" si="7"/>
        <v>140.60961697007693</v>
      </c>
      <c r="I127" s="42"/>
    </row>
    <row r="128" spans="1:9" ht="12.75" customHeight="1">
      <c r="A128" s="43">
        <v>25</v>
      </c>
      <c r="B128" s="43">
        <v>5</v>
      </c>
      <c r="C128" s="43">
        <v>1100</v>
      </c>
      <c r="D128" s="43">
        <v>553.70000000000005</v>
      </c>
      <c r="E128" s="43">
        <f t="shared" si="4"/>
        <v>6.7861784251967636</v>
      </c>
      <c r="F128" s="43">
        <f t="shared" si="5"/>
        <v>12.7</v>
      </c>
      <c r="G128" s="43">
        <f t="shared" si="6"/>
        <v>7584.2330079999028</v>
      </c>
      <c r="H128" s="43">
        <f t="shared" si="7"/>
        <v>150.30027976125791</v>
      </c>
      <c r="I128" s="42"/>
    </row>
    <row r="129" spans="1:9" ht="12.75" customHeight="1">
      <c r="A129" s="43">
        <v>25</v>
      </c>
      <c r="B129" s="43">
        <v>5</v>
      </c>
      <c r="C129" s="43">
        <v>1200</v>
      </c>
      <c r="D129" s="43">
        <v>589.40000000000009</v>
      </c>
      <c r="E129" s="43">
        <f t="shared" si="4"/>
        <v>6.7861784251967636</v>
      </c>
      <c r="F129" s="43">
        <f t="shared" si="5"/>
        <v>12.7</v>
      </c>
      <c r="G129" s="43">
        <f t="shared" si="6"/>
        <v>8273.708735999895</v>
      </c>
      <c r="H129" s="43">
        <f t="shared" si="7"/>
        <v>159.9909425524389</v>
      </c>
      <c r="I129" s="42"/>
    </row>
    <row r="130" spans="1:9" ht="12.75" customHeight="1">
      <c r="A130" s="43">
        <v>25</v>
      </c>
      <c r="B130" s="43">
        <v>5</v>
      </c>
      <c r="C130" s="43">
        <v>1300</v>
      </c>
      <c r="D130" s="43">
        <v>625.10000000000014</v>
      </c>
      <c r="E130" s="43">
        <f t="shared" si="4"/>
        <v>6.7861784251967636</v>
      </c>
      <c r="F130" s="43">
        <f t="shared" si="5"/>
        <v>12.7</v>
      </c>
      <c r="G130" s="43">
        <f t="shared" si="6"/>
        <v>8963.1844639998853</v>
      </c>
      <c r="H130" s="43">
        <f t="shared" si="7"/>
        <v>169.68160534361991</v>
      </c>
      <c r="I130" s="42"/>
    </row>
    <row r="131" spans="1:9" ht="12.75" customHeight="1">
      <c r="A131" s="43">
        <v>25</v>
      </c>
      <c r="B131" s="43">
        <v>5</v>
      </c>
      <c r="C131" s="43">
        <v>1400</v>
      </c>
      <c r="D131" s="43">
        <v>660.80000000000018</v>
      </c>
      <c r="E131" s="43">
        <f t="shared" ref="E131:E194" si="8">A131/145.03773800722/0.0254</f>
        <v>6.7861784251967636</v>
      </c>
      <c r="F131" s="43">
        <f t="shared" ref="F131:F194" si="9">B131*2.54</f>
        <v>12.7</v>
      </c>
      <c r="G131" s="43">
        <f t="shared" ref="G131:G194" si="10">C131/0.14503773800722</f>
        <v>9652.6601919998757</v>
      </c>
      <c r="H131" s="43">
        <f t="shared" ref="H131:H194" si="11">D131/145.03773800722/0.0254</f>
        <v>179.37226813480089</v>
      </c>
      <c r="I131" s="42"/>
    </row>
    <row r="132" spans="1:9" ht="12.75" customHeight="1">
      <c r="A132" s="43">
        <v>25</v>
      </c>
      <c r="B132" s="43">
        <v>5</v>
      </c>
      <c r="C132" s="43">
        <v>1500</v>
      </c>
      <c r="D132" s="43">
        <v>696.50000000000023</v>
      </c>
      <c r="E132" s="43">
        <f t="shared" si="8"/>
        <v>6.7861784251967636</v>
      </c>
      <c r="F132" s="43">
        <f t="shared" si="9"/>
        <v>12.7</v>
      </c>
      <c r="G132" s="43">
        <f t="shared" si="10"/>
        <v>10342.135919999868</v>
      </c>
      <c r="H132" s="43">
        <f t="shared" si="11"/>
        <v>189.0629309259819</v>
      </c>
      <c r="I132" s="42"/>
    </row>
    <row r="133" spans="1:9" ht="12.75" customHeight="1">
      <c r="A133" s="43">
        <v>25</v>
      </c>
      <c r="B133" s="43">
        <v>5</v>
      </c>
      <c r="C133" s="43">
        <v>1600</v>
      </c>
      <c r="D133" s="43">
        <v>732.20000000000027</v>
      </c>
      <c r="E133" s="43">
        <f t="shared" si="8"/>
        <v>6.7861784251967636</v>
      </c>
      <c r="F133" s="43">
        <f t="shared" si="9"/>
        <v>12.7</v>
      </c>
      <c r="G133" s="43">
        <f t="shared" si="10"/>
        <v>11031.611647999858</v>
      </c>
      <c r="H133" s="43">
        <f t="shared" si="11"/>
        <v>198.75359371716286</v>
      </c>
      <c r="I133" s="42"/>
    </row>
    <row r="134" spans="1:9" ht="12.75" customHeight="1">
      <c r="A134" s="43">
        <v>25</v>
      </c>
      <c r="B134" s="43">
        <v>5</v>
      </c>
      <c r="C134" s="43">
        <v>1700</v>
      </c>
      <c r="D134" s="43">
        <v>767.90000000000032</v>
      </c>
      <c r="E134" s="43">
        <f t="shared" si="8"/>
        <v>6.7861784251967636</v>
      </c>
      <c r="F134" s="43">
        <f t="shared" si="9"/>
        <v>12.7</v>
      </c>
      <c r="G134" s="43">
        <f t="shared" si="10"/>
        <v>11721.08737599985</v>
      </c>
      <c r="H134" s="43">
        <f t="shared" si="11"/>
        <v>208.44425650834387</v>
      </c>
      <c r="I134" s="42"/>
    </row>
    <row r="135" spans="1:9" ht="12.75" customHeight="1">
      <c r="A135" s="43">
        <v>25</v>
      </c>
      <c r="B135" s="43">
        <v>5</v>
      </c>
      <c r="C135" s="43">
        <v>1800</v>
      </c>
      <c r="D135" s="43">
        <v>803.60000000000036</v>
      </c>
      <c r="E135" s="43">
        <f t="shared" si="8"/>
        <v>6.7861784251967636</v>
      </c>
      <c r="F135" s="43">
        <f t="shared" si="9"/>
        <v>12.7</v>
      </c>
      <c r="G135" s="43">
        <f t="shared" si="10"/>
        <v>12410.563103999841</v>
      </c>
      <c r="H135" s="43">
        <f t="shared" si="11"/>
        <v>218.13491929952488</v>
      </c>
      <c r="I135" s="42"/>
    </row>
    <row r="136" spans="1:9" ht="12.75" customHeight="1">
      <c r="A136" s="43">
        <v>25</v>
      </c>
      <c r="B136" s="43">
        <v>5</v>
      </c>
      <c r="C136" s="43">
        <v>1900</v>
      </c>
      <c r="D136" s="43">
        <v>839.30000000000041</v>
      </c>
      <c r="E136" s="43">
        <f t="shared" si="8"/>
        <v>6.7861784251967636</v>
      </c>
      <c r="F136" s="43">
        <f t="shared" si="9"/>
        <v>12.7</v>
      </c>
      <c r="G136" s="43">
        <f t="shared" si="10"/>
        <v>13100.038831999833</v>
      </c>
      <c r="H136" s="43">
        <f t="shared" si="11"/>
        <v>227.82558209070584</v>
      </c>
      <c r="I136" s="42"/>
    </row>
    <row r="137" spans="1:9" ht="12.75" customHeight="1">
      <c r="A137" s="43">
        <v>25</v>
      </c>
      <c r="B137" s="43">
        <v>5</v>
      </c>
      <c r="C137" s="43">
        <v>2000</v>
      </c>
      <c r="D137" s="43">
        <v>875</v>
      </c>
      <c r="E137" s="43">
        <f t="shared" si="8"/>
        <v>6.7861784251967636</v>
      </c>
      <c r="F137" s="43">
        <f t="shared" si="9"/>
        <v>12.7</v>
      </c>
      <c r="G137" s="43">
        <f t="shared" si="10"/>
        <v>13789.514559999823</v>
      </c>
      <c r="H137" s="43">
        <f t="shared" si="11"/>
        <v>237.51624488188671</v>
      </c>
      <c r="I137" s="42"/>
    </row>
    <row r="138" spans="1:9" ht="12.75" customHeight="1">
      <c r="A138" s="43">
        <v>25</v>
      </c>
      <c r="B138" s="43">
        <v>6</v>
      </c>
      <c r="C138" s="43">
        <v>50</v>
      </c>
      <c r="D138" s="43">
        <v>115</v>
      </c>
      <c r="E138" s="43">
        <f t="shared" si="8"/>
        <v>6.7861784251967636</v>
      </c>
      <c r="F138" s="43">
        <f t="shared" si="9"/>
        <v>15.24</v>
      </c>
      <c r="G138" s="43">
        <f t="shared" si="10"/>
        <v>344.73786399999557</v>
      </c>
      <c r="H138" s="43">
        <f t="shared" si="11"/>
        <v>31.216420755905109</v>
      </c>
      <c r="I138" s="42"/>
    </row>
    <row r="139" spans="1:9" ht="12.75" customHeight="1">
      <c r="A139" s="43">
        <v>25</v>
      </c>
      <c r="B139" s="43">
        <v>6</v>
      </c>
      <c r="C139" s="43">
        <v>60</v>
      </c>
      <c r="D139" s="43">
        <v>123.4</v>
      </c>
      <c r="E139" s="43">
        <f t="shared" si="8"/>
        <v>6.7861784251967636</v>
      </c>
      <c r="F139" s="43">
        <f t="shared" si="9"/>
        <v>15.24</v>
      </c>
      <c r="G139" s="43">
        <f t="shared" si="10"/>
        <v>413.6854367999947</v>
      </c>
      <c r="H139" s="43">
        <f t="shared" si="11"/>
        <v>33.496576706771229</v>
      </c>
      <c r="I139" s="42"/>
    </row>
    <row r="140" spans="1:9" ht="12.75" customHeight="1">
      <c r="A140" s="43">
        <v>25</v>
      </c>
      <c r="B140" s="43">
        <v>6</v>
      </c>
      <c r="C140" s="43">
        <v>70</v>
      </c>
      <c r="D140" s="43">
        <v>131.80000000000001</v>
      </c>
      <c r="E140" s="43">
        <f t="shared" si="8"/>
        <v>6.7861784251967636</v>
      </c>
      <c r="F140" s="43">
        <f t="shared" si="9"/>
        <v>15.24</v>
      </c>
      <c r="G140" s="43">
        <f t="shared" si="10"/>
        <v>482.63300959999384</v>
      </c>
      <c r="H140" s="43">
        <f t="shared" si="11"/>
        <v>35.776732657637339</v>
      </c>
      <c r="I140" s="42"/>
    </row>
    <row r="141" spans="1:9" ht="12.75" customHeight="1">
      <c r="A141" s="43">
        <v>25</v>
      </c>
      <c r="B141" s="43">
        <v>6</v>
      </c>
      <c r="C141" s="43">
        <v>80</v>
      </c>
      <c r="D141" s="43">
        <v>140.20000000000002</v>
      </c>
      <c r="E141" s="43">
        <f t="shared" si="8"/>
        <v>6.7861784251967636</v>
      </c>
      <c r="F141" s="43">
        <f t="shared" si="9"/>
        <v>15.24</v>
      </c>
      <c r="G141" s="43">
        <f t="shared" si="10"/>
        <v>551.58058239999298</v>
      </c>
      <c r="H141" s="43">
        <f t="shared" si="11"/>
        <v>38.056888608503449</v>
      </c>
      <c r="I141" s="42"/>
    </row>
    <row r="142" spans="1:9" ht="12.75" customHeight="1">
      <c r="A142" s="43">
        <v>25</v>
      </c>
      <c r="B142" s="43">
        <v>6</v>
      </c>
      <c r="C142" s="43">
        <v>90</v>
      </c>
      <c r="D142" s="43">
        <v>148.60000000000002</v>
      </c>
      <c r="E142" s="43">
        <f t="shared" si="8"/>
        <v>6.7861784251967636</v>
      </c>
      <c r="F142" s="43">
        <f t="shared" si="9"/>
        <v>15.24</v>
      </c>
      <c r="G142" s="43">
        <f t="shared" si="10"/>
        <v>620.52815519999206</v>
      </c>
      <c r="H142" s="43">
        <f t="shared" si="11"/>
        <v>40.337044559369566</v>
      </c>
      <c r="I142" s="42"/>
    </row>
    <row r="143" spans="1:9" ht="12.75" customHeight="1">
      <c r="A143" s="43">
        <v>25</v>
      </c>
      <c r="B143" s="43">
        <v>6</v>
      </c>
      <c r="C143" s="43">
        <v>100</v>
      </c>
      <c r="D143" s="43">
        <v>157</v>
      </c>
      <c r="E143" s="43">
        <f t="shared" si="8"/>
        <v>6.7861784251967636</v>
      </c>
      <c r="F143" s="43">
        <f t="shared" si="9"/>
        <v>15.24</v>
      </c>
      <c r="G143" s="43">
        <f t="shared" si="10"/>
        <v>689.47572799999114</v>
      </c>
      <c r="H143" s="43">
        <f t="shared" si="11"/>
        <v>42.617200510235669</v>
      </c>
      <c r="I143" s="42"/>
    </row>
    <row r="144" spans="1:9" ht="12.75" customHeight="1">
      <c r="A144" s="43">
        <v>25</v>
      </c>
      <c r="B144" s="43">
        <v>6</v>
      </c>
      <c r="C144" s="43">
        <v>150</v>
      </c>
      <c r="D144" s="43">
        <v>192.75</v>
      </c>
      <c r="E144" s="43">
        <f t="shared" si="8"/>
        <v>6.7861784251967636</v>
      </c>
      <c r="F144" s="43">
        <f t="shared" si="9"/>
        <v>15.24</v>
      </c>
      <c r="G144" s="43">
        <f t="shared" si="10"/>
        <v>1034.2135919999869</v>
      </c>
      <c r="H144" s="43">
        <f t="shared" si="11"/>
        <v>52.321435658267042</v>
      </c>
      <c r="I144" s="42"/>
    </row>
    <row r="145" spans="1:9" ht="12.75" customHeight="1">
      <c r="A145" s="43">
        <v>25</v>
      </c>
      <c r="B145" s="43">
        <v>6</v>
      </c>
      <c r="C145" s="43">
        <v>200</v>
      </c>
      <c r="D145" s="43">
        <v>228.5</v>
      </c>
      <c r="E145" s="43">
        <f t="shared" si="8"/>
        <v>6.7861784251967636</v>
      </c>
      <c r="F145" s="43">
        <f t="shared" si="9"/>
        <v>15.24</v>
      </c>
      <c r="G145" s="43">
        <f t="shared" si="10"/>
        <v>1378.9514559999823</v>
      </c>
      <c r="H145" s="43">
        <f t="shared" si="11"/>
        <v>62.025670806298415</v>
      </c>
      <c r="I145" s="42"/>
    </row>
    <row r="146" spans="1:9" ht="12.75" customHeight="1">
      <c r="A146" s="43">
        <v>25</v>
      </c>
      <c r="B146" s="43">
        <v>6</v>
      </c>
      <c r="C146" s="43">
        <v>250</v>
      </c>
      <c r="D146" s="43">
        <v>264.25</v>
      </c>
      <c r="E146" s="43">
        <f t="shared" si="8"/>
        <v>6.7861784251967636</v>
      </c>
      <c r="F146" s="43">
        <f t="shared" si="9"/>
        <v>15.24</v>
      </c>
      <c r="G146" s="43">
        <f t="shared" si="10"/>
        <v>1723.6893199999779</v>
      </c>
      <c r="H146" s="43">
        <f t="shared" si="11"/>
        <v>71.729905954329794</v>
      </c>
      <c r="I146" s="42"/>
    </row>
    <row r="147" spans="1:9" ht="12.75" customHeight="1">
      <c r="A147" s="43">
        <v>25</v>
      </c>
      <c r="B147" s="43">
        <v>6</v>
      </c>
      <c r="C147" s="43">
        <v>300</v>
      </c>
      <c r="D147" s="43">
        <v>300</v>
      </c>
      <c r="E147" s="43">
        <f t="shared" si="8"/>
        <v>6.7861784251967636</v>
      </c>
      <c r="F147" s="43">
        <f t="shared" si="9"/>
        <v>15.24</v>
      </c>
      <c r="G147" s="43">
        <f t="shared" si="10"/>
        <v>2068.4271839999737</v>
      </c>
      <c r="H147" s="43">
        <f t="shared" si="11"/>
        <v>81.434141102361153</v>
      </c>
      <c r="I147" s="42"/>
    </row>
    <row r="148" spans="1:9" ht="12.75" customHeight="1">
      <c r="A148" s="43">
        <v>25</v>
      </c>
      <c r="B148" s="43">
        <v>6</v>
      </c>
      <c r="C148" s="43">
        <v>350</v>
      </c>
      <c r="D148" s="43">
        <v>333</v>
      </c>
      <c r="E148" s="43">
        <f t="shared" si="8"/>
        <v>6.7861784251967636</v>
      </c>
      <c r="F148" s="43">
        <f t="shared" si="9"/>
        <v>15.24</v>
      </c>
      <c r="G148" s="43">
        <f t="shared" si="10"/>
        <v>2413.1650479999689</v>
      </c>
      <c r="H148" s="43">
        <f t="shared" si="11"/>
        <v>90.391896623620895</v>
      </c>
      <c r="I148" s="42"/>
    </row>
    <row r="149" spans="1:9" ht="12.75" customHeight="1">
      <c r="A149" s="43">
        <v>25</v>
      </c>
      <c r="B149" s="43">
        <v>6</v>
      </c>
      <c r="C149" s="43">
        <v>400</v>
      </c>
      <c r="D149" s="43">
        <v>366</v>
      </c>
      <c r="E149" s="43">
        <f t="shared" si="8"/>
        <v>6.7861784251967636</v>
      </c>
      <c r="F149" s="43">
        <f t="shared" si="9"/>
        <v>15.24</v>
      </c>
      <c r="G149" s="43">
        <f t="shared" si="10"/>
        <v>2757.9029119999645</v>
      </c>
      <c r="H149" s="43">
        <f t="shared" si="11"/>
        <v>99.349652144880608</v>
      </c>
      <c r="I149" s="42"/>
    </row>
    <row r="150" spans="1:9" ht="12.75" customHeight="1">
      <c r="A150" s="43">
        <v>25</v>
      </c>
      <c r="B150" s="43">
        <v>6</v>
      </c>
      <c r="C150" s="43">
        <v>450</v>
      </c>
      <c r="D150" s="43">
        <v>399</v>
      </c>
      <c r="E150" s="43">
        <f t="shared" si="8"/>
        <v>6.7861784251967636</v>
      </c>
      <c r="F150" s="43">
        <f t="shared" si="9"/>
        <v>15.24</v>
      </c>
      <c r="G150" s="43">
        <f t="shared" si="10"/>
        <v>3102.6407759999602</v>
      </c>
      <c r="H150" s="43">
        <f t="shared" si="11"/>
        <v>108.30740766614034</v>
      </c>
      <c r="I150" s="42"/>
    </row>
    <row r="151" spans="1:9" ht="12.75" customHeight="1">
      <c r="A151" s="43">
        <v>25</v>
      </c>
      <c r="B151" s="43">
        <v>6</v>
      </c>
      <c r="C151" s="43">
        <v>500</v>
      </c>
      <c r="D151" s="43">
        <v>432</v>
      </c>
      <c r="E151" s="43">
        <f t="shared" si="8"/>
        <v>6.7861784251967636</v>
      </c>
      <c r="F151" s="43">
        <f t="shared" si="9"/>
        <v>15.24</v>
      </c>
      <c r="G151" s="43">
        <f t="shared" si="10"/>
        <v>3447.3786399999558</v>
      </c>
      <c r="H151" s="43">
        <f t="shared" si="11"/>
        <v>117.26516318740008</v>
      </c>
      <c r="I151" s="42"/>
    </row>
    <row r="152" spans="1:9" ht="12.75" customHeight="1">
      <c r="A152" s="43">
        <v>25</v>
      </c>
      <c r="B152" s="43">
        <v>6</v>
      </c>
      <c r="C152" s="43">
        <v>550</v>
      </c>
      <c r="D152" s="43">
        <v>462.7</v>
      </c>
      <c r="E152" s="43">
        <f t="shared" si="8"/>
        <v>6.7861784251967636</v>
      </c>
      <c r="F152" s="43">
        <f t="shared" si="9"/>
        <v>15.24</v>
      </c>
      <c r="G152" s="43">
        <f t="shared" si="10"/>
        <v>3792.1165039999514</v>
      </c>
      <c r="H152" s="43">
        <f t="shared" si="11"/>
        <v>125.59859029354169</v>
      </c>
      <c r="I152" s="42"/>
    </row>
    <row r="153" spans="1:9" ht="12.75" customHeight="1">
      <c r="A153" s="43">
        <v>25</v>
      </c>
      <c r="B153" s="43">
        <v>6</v>
      </c>
      <c r="C153" s="43">
        <v>600</v>
      </c>
      <c r="D153" s="43">
        <v>493.4</v>
      </c>
      <c r="E153" s="43">
        <f t="shared" si="8"/>
        <v>6.7861784251967636</v>
      </c>
      <c r="F153" s="43">
        <f t="shared" si="9"/>
        <v>15.24</v>
      </c>
      <c r="G153" s="43">
        <f t="shared" si="10"/>
        <v>4136.8543679999475</v>
      </c>
      <c r="H153" s="43">
        <f t="shared" si="11"/>
        <v>133.9320173996833</v>
      </c>
      <c r="I153" s="42"/>
    </row>
    <row r="154" spans="1:9" ht="12.75" customHeight="1">
      <c r="A154" s="43">
        <v>25</v>
      </c>
      <c r="B154" s="43">
        <v>6</v>
      </c>
      <c r="C154" s="43">
        <v>650</v>
      </c>
      <c r="D154" s="43">
        <v>524.1</v>
      </c>
      <c r="E154" s="43">
        <f t="shared" si="8"/>
        <v>6.7861784251967636</v>
      </c>
      <c r="F154" s="43">
        <f t="shared" si="9"/>
        <v>15.24</v>
      </c>
      <c r="G154" s="43">
        <f t="shared" si="10"/>
        <v>4481.5922319999427</v>
      </c>
      <c r="H154" s="43">
        <f t="shared" si="11"/>
        <v>142.26544450582495</v>
      </c>
      <c r="I154" s="42"/>
    </row>
    <row r="155" spans="1:9" ht="12.75" customHeight="1">
      <c r="A155" s="43">
        <v>25</v>
      </c>
      <c r="B155" s="43">
        <v>6</v>
      </c>
      <c r="C155" s="43">
        <v>700</v>
      </c>
      <c r="D155" s="43">
        <v>554.80000000000007</v>
      </c>
      <c r="E155" s="43">
        <f t="shared" si="8"/>
        <v>6.7861784251967636</v>
      </c>
      <c r="F155" s="43">
        <f t="shared" si="9"/>
        <v>15.24</v>
      </c>
      <c r="G155" s="43">
        <f t="shared" si="10"/>
        <v>4826.3300959999378</v>
      </c>
      <c r="H155" s="43">
        <f t="shared" si="11"/>
        <v>150.59887161196659</v>
      </c>
      <c r="I155" s="42"/>
    </row>
    <row r="156" spans="1:9" ht="12.75" customHeight="1">
      <c r="A156" s="43">
        <v>25</v>
      </c>
      <c r="B156" s="43">
        <v>6</v>
      </c>
      <c r="C156" s="43">
        <v>750</v>
      </c>
      <c r="D156" s="43">
        <v>585.50000000000011</v>
      </c>
      <c r="E156" s="43">
        <f t="shared" si="8"/>
        <v>6.7861784251967636</v>
      </c>
      <c r="F156" s="43">
        <f t="shared" si="9"/>
        <v>15.24</v>
      </c>
      <c r="G156" s="43">
        <f t="shared" si="10"/>
        <v>5171.0679599999339</v>
      </c>
      <c r="H156" s="43">
        <f t="shared" si="11"/>
        <v>158.93229871810823</v>
      </c>
      <c r="I156" s="42"/>
    </row>
    <row r="157" spans="1:9" ht="12.75" customHeight="1">
      <c r="A157" s="43">
        <v>25</v>
      </c>
      <c r="B157" s="43">
        <v>6</v>
      </c>
      <c r="C157" s="43">
        <v>800</v>
      </c>
      <c r="D157" s="43">
        <v>616.20000000000016</v>
      </c>
      <c r="E157" s="43">
        <f t="shared" si="8"/>
        <v>6.7861784251967636</v>
      </c>
      <c r="F157" s="43">
        <f t="shared" si="9"/>
        <v>15.24</v>
      </c>
      <c r="G157" s="43">
        <f t="shared" si="10"/>
        <v>5515.8058239999291</v>
      </c>
      <c r="H157" s="43">
        <f t="shared" si="11"/>
        <v>167.26572582424987</v>
      </c>
      <c r="I157" s="42"/>
    </row>
    <row r="158" spans="1:9" ht="12.75" customHeight="1">
      <c r="A158" s="43">
        <v>25</v>
      </c>
      <c r="B158" s="43">
        <v>6</v>
      </c>
      <c r="C158" s="43">
        <v>850</v>
      </c>
      <c r="D158" s="43">
        <v>646.9000000000002</v>
      </c>
      <c r="E158" s="43">
        <f t="shared" si="8"/>
        <v>6.7861784251967636</v>
      </c>
      <c r="F158" s="43">
        <f t="shared" si="9"/>
        <v>15.24</v>
      </c>
      <c r="G158" s="43">
        <f t="shared" si="10"/>
        <v>5860.5436879999252</v>
      </c>
      <c r="H158" s="43">
        <f t="shared" si="11"/>
        <v>175.59915293039148</v>
      </c>
      <c r="I158" s="42"/>
    </row>
    <row r="159" spans="1:9" ht="12.75" customHeight="1">
      <c r="A159" s="43">
        <v>25</v>
      </c>
      <c r="B159" s="43">
        <v>6</v>
      </c>
      <c r="C159" s="43">
        <v>900</v>
      </c>
      <c r="D159" s="43">
        <v>677.60000000000025</v>
      </c>
      <c r="E159" s="43">
        <f t="shared" si="8"/>
        <v>6.7861784251967636</v>
      </c>
      <c r="F159" s="43">
        <f t="shared" si="9"/>
        <v>15.24</v>
      </c>
      <c r="G159" s="43">
        <f t="shared" si="10"/>
        <v>6205.2815519999203</v>
      </c>
      <c r="H159" s="43">
        <f t="shared" si="11"/>
        <v>183.93258003653315</v>
      </c>
      <c r="I159" s="42"/>
    </row>
    <row r="160" spans="1:9" ht="12.75" customHeight="1">
      <c r="A160" s="43">
        <v>25</v>
      </c>
      <c r="B160" s="43">
        <v>6</v>
      </c>
      <c r="C160" s="43">
        <v>950</v>
      </c>
      <c r="D160" s="43">
        <v>708.3000000000003</v>
      </c>
      <c r="E160" s="43">
        <f t="shared" si="8"/>
        <v>6.7861784251967636</v>
      </c>
      <c r="F160" s="43">
        <f t="shared" si="9"/>
        <v>15.24</v>
      </c>
      <c r="G160" s="43">
        <f t="shared" si="10"/>
        <v>6550.0194159999164</v>
      </c>
      <c r="H160" s="43">
        <f t="shared" si="11"/>
        <v>192.26600714267477</v>
      </c>
      <c r="I160" s="42"/>
    </row>
    <row r="161" spans="1:9" ht="12.75" customHeight="1">
      <c r="A161" s="43">
        <v>25</v>
      </c>
      <c r="B161" s="43">
        <v>6</v>
      </c>
      <c r="C161" s="43">
        <v>1000</v>
      </c>
      <c r="D161" s="43">
        <v>739</v>
      </c>
      <c r="E161" s="43">
        <f t="shared" si="8"/>
        <v>6.7861784251967636</v>
      </c>
      <c r="F161" s="43">
        <f t="shared" si="9"/>
        <v>15.24</v>
      </c>
      <c r="G161" s="43">
        <f t="shared" si="10"/>
        <v>6894.7572799999116</v>
      </c>
      <c r="H161" s="43">
        <f t="shared" si="11"/>
        <v>200.59943424881632</v>
      </c>
      <c r="I161" s="42"/>
    </row>
    <row r="162" spans="1:9" ht="12.75" customHeight="1">
      <c r="A162" s="43">
        <v>25</v>
      </c>
      <c r="B162" s="43">
        <v>6</v>
      </c>
      <c r="C162" s="43">
        <v>1100</v>
      </c>
      <c r="D162" s="43">
        <v>792.3</v>
      </c>
      <c r="E162" s="43">
        <f t="shared" si="8"/>
        <v>6.7861784251967636</v>
      </c>
      <c r="F162" s="43">
        <f t="shared" si="9"/>
        <v>15.24</v>
      </c>
      <c r="G162" s="43">
        <f t="shared" si="10"/>
        <v>7584.2330079999028</v>
      </c>
      <c r="H162" s="43">
        <f t="shared" si="11"/>
        <v>215.06756665133582</v>
      </c>
      <c r="I162" s="42"/>
    </row>
    <row r="163" spans="1:9" ht="12.75" customHeight="1">
      <c r="A163" s="43">
        <v>25</v>
      </c>
      <c r="B163" s="43">
        <v>6</v>
      </c>
      <c r="C163" s="43">
        <v>1200</v>
      </c>
      <c r="D163" s="43">
        <v>845.59999999999991</v>
      </c>
      <c r="E163" s="43">
        <f t="shared" si="8"/>
        <v>6.7861784251967636</v>
      </c>
      <c r="F163" s="43">
        <f t="shared" si="9"/>
        <v>15.24</v>
      </c>
      <c r="G163" s="43">
        <f t="shared" si="10"/>
        <v>8273.708735999895</v>
      </c>
      <c r="H163" s="43">
        <f t="shared" si="11"/>
        <v>229.5356990538553</v>
      </c>
      <c r="I163" s="42"/>
    </row>
    <row r="164" spans="1:9" ht="12.75" customHeight="1">
      <c r="A164" s="43">
        <v>25</v>
      </c>
      <c r="B164" s="43">
        <v>6</v>
      </c>
      <c r="C164" s="43">
        <v>1300</v>
      </c>
      <c r="D164" s="43">
        <v>898.89999999999986</v>
      </c>
      <c r="E164" s="43">
        <f t="shared" si="8"/>
        <v>6.7861784251967636</v>
      </c>
      <c r="F164" s="43">
        <f t="shared" si="9"/>
        <v>15.24</v>
      </c>
      <c r="G164" s="43">
        <f t="shared" si="10"/>
        <v>8963.1844639998853</v>
      </c>
      <c r="H164" s="43">
        <f t="shared" si="11"/>
        <v>244.00383145637477</v>
      </c>
      <c r="I164" s="42"/>
    </row>
    <row r="165" spans="1:9" ht="12.75" customHeight="1">
      <c r="A165" s="43">
        <v>25</v>
      </c>
      <c r="B165" s="43">
        <v>6</v>
      </c>
      <c r="C165" s="43">
        <v>1400</v>
      </c>
      <c r="D165" s="43">
        <v>952.19999999999982</v>
      </c>
      <c r="E165" s="43">
        <f t="shared" si="8"/>
        <v>6.7861784251967636</v>
      </c>
      <c r="F165" s="43">
        <f t="shared" si="9"/>
        <v>15.24</v>
      </c>
      <c r="G165" s="43">
        <f t="shared" si="10"/>
        <v>9652.6601919998757</v>
      </c>
      <c r="H165" s="43">
        <f t="shared" si="11"/>
        <v>258.4719638588943</v>
      </c>
      <c r="I165" s="42"/>
    </row>
    <row r="166" spans="1:9" ht="12.75" customHeight="1">
      <c r="A166" s="43">
        <v>25</v>
      </c>
      <c r="B166" s="43">
        <v>6</v>
      </c>
      <c r="C166" s="43">
        <v>1500</v>
      </c>
      <c r="D166" s="43">
        <v>1005.4999999999998</v>
      </c>
      <c r="E166" s="43">
        <f t="shared" si="8"/>
        <v>6.7861784251967636</v>
      </c>
      <c r="F166" s="43">
        <f t="shared" si="9"/>
        <v>15.24</v>
      </c>
      <c r="G166" s="43">
        <f t="shared" si="10"/>
        <v>10342.135919999868</v>
      </c>
      <c r="H166" s="43">
        <f t="shared" si="11"/>
        <v>272.94009626141377</v>
      </c>
      <c r="I166" s="42"/>
    </row>
    <row r="167" spans="1:9" ht="12.75" customHeight="1">
      <c r="A167" s="43">
        <v>25</v>
      </c>
      <c r="B167" s="43">
        <v>6</v>
      </c>
      <c r="C167" s="43">
        <v>1600</v>
      </c>
      <c r="D167" s="43">
        <v>1058.7999999999997</v>
      </c>
      <c r="E167" s="43">
        <f t="shared" si="8"/>
        <v>6.7861784251967636</v>
      </c>
      <c r="F167" s="43">
        <f t="shared" si="9"/>
        <v>15.24</v>
      </c>
      <c r="G167" s="43">
        <f t="shared" si="10"/>
        <v>11031.611647999858</v>
      </c>
      <c r="H167" s="43">
        <f t="shared" si="11"/>
        <v>287.40822866393324</v>
      </c>
      <c r="I167" s="42"/>
    </row>
    <row r="168" spans="1:9" ht="12.75" customHeight="1">
      <c r="A168" s="43">
        <v>25</v>
      </c>
      <c r="B168" s="43">
        <v>6</v>
      </c>
      <c r="C168" s="43">
        <v>1700</v>
      </c>
      <c r="D168" s="43">
        <v>1112.0999999999997</v>
      </c>
      <c r="E168" s="43">
        <f t="shared" si="8"/>
        <v>6.7861784251967636</v>
      </c>
      <c r="F168" s="43">
        <f t="shared" si="9"/>
        <v>15.24</v>
      </c>
      <c r="G168" s="43">
        <f t="shared" si="10"/>
        <v>11721.08737599985</v>
      </c>
      <c r="H168" s="43">
        <f t="shared" si="11"/>
        <v>301.87636106645272</v>
      </c>
      <c r="I168" s="42"/>
    </row>
    <row r="169" spans="1:9" ht="12.75" customHeight="1">
      <c r="A169" s="43">
        <v>25</v>
      </c>
      <c r="B169" s="43">
        <v>6</v>
      </c>
      <c r="C169" s="43">
        <v>1800</v>
      </c>
      <c r="D169" s="43">
        <v>1165.3999999999996</v>
      </c>
      <c r="E169" s="43">
        <f t="shared" si="8"/>
        <v>6.7861784251967636</v>
      </c>
      <c r="F169" s="43">
        <f t="shared" si="9"/>
        <v>15.24</v>
      </c>
      <c r="G169" s="43">
        <f t="shared" si="10"/>
        <v>12410.563103999841</v>
      </c>
      <c r="H169" s="43">
        <f t="shared" si="11"/>
        <v>316.34449346897225</v>
      </c>
      <c r="I169" s="42"/>
    </row>
    <row r="170" spans="1:9" ht="12.75" customHeight="1">
      <c r="A170" s="43">
        <v>25</v>
      </c>
      <c r="B170" s="43">
        <v>6</v>
      </c>
      <c r="C170" s="43">
        <v>1900</v>
      </c>
      <c r="D170" s="43">
        <v>1218.6999999999996</v>
      </c>
      <c r="E170" s="43">
        <f t="shared" si="8"/>
        <v>6.7861784251967636</v>
      </c>
      <c r="F170" s="43">
        <f t="shared" si="9"/>
        <v>15.24</v>
      </c>
      <c r="G170" s="43">
        <f t="shared" si="10"/>
        <v>13100.038831999833</v>
      </c>
      <c r="H170" s="43">
        <f t="shared" si="11"/>
        <v>330.81262587149166</v>
      </c>
      <c r="I170" s="42"/>
    </row>
    <row r="171" spans="1:9" ht="12.75" customHeight="1">
      <c r="A171" s="43">
        <v>25</v>
      </c>
      <c r="B171" s="43">
        <v>6</v>
      </c>
      <c r="C171" s="43">
        <v>2000</v>
      </c>
      <c r="D171" s="43">
        <v>1272</v>
      </c>
      <c r="E171" s="43">
        <f t="shared" si="8"/>
        <v>6.7861784251967636</v>
      </c>
      <c r="F171" s="43">
        <f t="shared" si="9"/>
        <v>15.24</v>
      </c>
      <c r="G171" s="43">
        <f t="shared" si="10"/>
        <v>13789.514559999823</v>
      </c>
      <c r="H171" s="43">
        <f t="shared" si="11"/>
        <v>345.28075827401136</v>
      </c>
      <c r="I171" s="42"/>
    </row>
    <row r="172" spans="1:9" ht="12.75" customHeight="1">
      <c r="A172" s="43">
        <v>50</v>
      </c>
      <c r="B172" s="43">
        <v>2</v>
      </c>
      <c r="C172" s="43">
        <v>50</v>
      </c>
      <c r="D172" s="43">
        <v>81</v>
      </c>
      <c r="E172" s="43">
        <f t="shared" si="8"/>
        <v>13.572356850393527</v>
      </c>
      <c r="F172" s="43">
        <f t="shared" si="9"/>
        <v>5.08</v>
      </c>
      <c r="G172" s="43">
        <f t="shared" si="10"/>
        <v>344.73786399999557</v>
      </c>
      <c r="H172" s="43">
        <f t="shared" si="11"/>
        <v>21.987218097637516</v>
      </c>
      <c r="I172" s="42"/>
    </row>
    <row r="173" spans="1:9" ht="12.75" customHeight="1">
      <c r="A173" s="43">
        <v>50</v>
      </c>
      <c r="B173" s="43">
        <v>2</v>
      </c>
      <c r="C173" s="43">
        <v>60</v>
      </c>
      <c r="D173" s="43">
        <v>82.4</v>
      </c>
      <c r="E173" s="43">
        <f t="shared" si="8"/>
        <v>13.572356850393527</v>
      </c>
      <c r="F173" s="43">
        <f t="shared" si="9"/>
        <v>5.08</v>
      </c>
      <c r="G173" s="43">
        <f t="shared" si="10"/>
        <v>413.6854367999947</v>
      </c>
      <c r="H173" s="43">
        <f t="shared" si="11"/>
        <v>22.367244089448533</v>
      </c>
      <c r="I173" s="42"/>
    </row>
    <row r="174" spans="1:9" ht="12.75" customHeight="1">
      <c r="A174" s="43">
        <v>50</v>
      </c>
      <c r="B174" s="43">
        <v>2</v>
      </c>
      <c r="C174" s="43">
        <v>70</v>
      </c>
      <c r="D174" s="43">
        <v>83.800000000000011</v>
      </c>
      <c r="E174" s="43">
        <f t="shared" si="8"/>
        <v>13.572356850393527</v>
      </c>
      <c r="F174" s="43">
        <f t="shared" si="9"/>
        <v>5.08</v>
      </c>
      <c r="G174" s="43">
        <f t="shared" si="10"/>
        <v>482.63300959999384</v>
      </c>
      <c r="H174" s="43">
        <f t="shared" si="11"/>
        <v>22.747270081259554</v>
      </c>
      <c r="I174" s="42"/>
    </row>
    <row r="175" spans="1:9" ht="12.75" customHeight="1">
      <c r="A175" s="43">
        <v>50</v>
      </c>
      <c r="B175" s="43">
        <v>2</v>
      </c>
      <c r="C175" s="43">
        <v>80</v>
      </c>
      <c r="D175" s="43">
        <v>85.200000000000017</v>
      </c>
      <c r="E175" s="43">
        <f t="shared" si="8"/>
        <v>13.572356850393527</v>
      </c>
      <c r="F175" s="43">
        <f t="shared" si="9"/>
        <v>5.08</v>
      </c>
      <c r="G175" s="43">
        <f t="shared" si="10"/>
        <v>551.58058239999298</v>
      </c>
      <c r="H175" s="43">
        <f t="shared" si="11"/>
        <v>23.127296073070575</v>
      </c>
      <c r="I175" s="42"/>
    </row>
    <row r="176" spans="1:9" ht="12.75" customHeight="1">
      <c r="A176" s="43">
        <v>50</v>
      </c>
      <c r="B176" s="43">
        <v>2</v>
      </c>
      <c r="C176" s="43">
        <v>90</v>
      </c>
      <c r="D176" s="43">
        <v>86.600000000000023</v>
      </c>
      <c r="E176" s="43">
        <f t="shared" si="8"/>
        <v>13.572356850393527</v>
      </c>
      <c r="F176" s="43">
        <f t="shared" si="9"/>
        <v>5.08</v>
      </c>
      <c r="G176" s="43">
        <f t="shared" si="10"/>
        <v>620.52815519999206</v>
      </c>
      <c r="H176" s="43">
        <f t="shared" si="11"/>
        <v>23.507322064881592</v>
      </c>
      <c r="I176" s="42"/>
    </row>
    <row r="177" spans="1:9" ht="12.75" customHeight="1">
      <c r="A177" s="43">
        <v>50</v>
      </c>
      <c r="B177" s="43">
        <v>2</v>
      </c>
      <c r="C177" s="43">
        <v>100</v>
      </c>
      <c r="D177" s="43">
        <v>88</v>
      </c>
      <c r="E177" s="43">
        <f t="shared" si="8"/>
        <v>13.572356850393527</v>
      </c>
      <c r="F177" s="43">
        <f t="shared" si="9"/>
        <v>5.08</v>
      </c>
      <c r="G177" s="43">
        <f t="shared" si="10"/>
        <v>689.47572799999114</v>
      </c>
      <c r="H177" s="43">
        <f t="shared" si="11"/>
        <v>23.887348056692606</v>
      </c>
      <c r="I177" s="42"/>
    </row>
    <row r="178" spans="1:9" ht="12.75" customHeight="1">
      <c r="A178" s="43">
        <v>50</v>
      </c>
      <c r="B178" s="43">
        <v>2</v>
      </c>
      <c r="C178" s="43">
        <v>150</v>
      </c>
      <c r="D178" s="43">
        <v>92.25</v>
      </c>
      <c r="E178" s="43">
        <f t="shared" si="8"/>
        <v>13.572356850393527</v>
      </c>
      <c r="F178" s="43">
        <f t="shared" si="9"/>
        <v>5.08</v>
      </c>
      <c r="G178" s="43">
        <f t="shared" si="10"/>
        <v>1034.2135919999869</v>
      </c>
      <c r="H178" s="43">
        <f t="shared" si="11"/>
        <v>25.040998388976057</v>
      </c>
      <c r="I178" s="42"/>
    </row>
    <row r="179" spans="1:9" ht="12.75" customHeight="1">
      <c r="A179" s="43">
        <v>50</v>
      </c>
      <c r="B179" s="43">
        <v>2</v>
      </c>
      <c r="C179" s="43">
        <v>200</v>
      </c>
      <c r="D179" s="43">
        <v>96.5</v>
      </c>
      <c r="E179" s="43">
        <f t="shared" si="8"/>
        <v>13.572356850393527</v>
      </c>
      <c r="F179" s="43">
        <f t="shared" si="9"/>
        <v>5.08</v>
      </c>
      <c r="G179" s="43">
        <f t="shared" si="10"/>
        <v>1378.9514559999823</v>
      </c>
      <c r="H179" s="43">
        <f t="shared" si="11"/>
        <v>26.194648721259508</v>
      </c>
      <c r="I179" s="42"/>
    </row>
    <row r="180" spans="1:9" ht="12.75" customHeight="1">
      <c r="A180" s="43">
        <v>50</v>
      </c>
      <c r="B180" s="43">
        <v>2</v>
      </c>
      <c r="C180" s="43">
        <v>250</v>
      </c>
      <c r="D180" s="43">
        <v>100.75</v>
      </c>
      <c r="E180" s="43">
        <f t="shared" si="8"/>
        <v>13.572356850393527</v>
      </c>
      <c r="F180" s="43">
        <f t="shared" si="9"/>
        <v>5.08</v>
      </c>
      <c r="G180" s="43">
        <f t="shared" si="10"/>
        <v>1723.6893199999779</v>
      </c>
      <c r="H180" s="43">
        <f t="shared" si="11"/>
        <v>27.348299053542956</v>
      </c>
      <c r="I180" s="42"/>
    </row>
    <row r="181" spans="1:9" ht="12.75" customHeight="1">
      <c r="A181" s="43">
        <v>50</v>
      </c>
      <c r="B181" s="43">
        <v>2</v>
      </c>
      <c r="C181" s="43">
        <v>300</v>
      </c>
      <c r="D181" s="43">
        <v>105</v>
      </c>
      <c r="E181" s="43">
        <f t="shared" si="8"/>
        <v>13.572356850393527</v>
      </c>
      <c r="F181" s="43">
        <f t="shared" si="9"/>
        <v>5.08</v>
      </c>
      <c r="G181" s="43">
        <f t="shared" si="10"/>
        <v>2068.4271839999737</v>
      </c>
      <c r="H181" s="43">
        <f t="shared" si="11"/>
        <v>28.501949385826407</v>
      </c>
      <c r="I181" s="42"/>
    </row>
    <row r="182" spans="1:9" ht="12.75" customHeight="1">
      <c r="A182" s="43">
        <v>50</v>
      </c>
      <c r="B182" s="43">
        <v>2</v>
      </c>
      <c r="C182" s="43">
        <v>350</v>
      </c>
      <c r="D182" s="43">
        <v>108.5</v>
      </c>
      <c r="E182" s="43">
        <f t="shared" si="8"/>
        <v>13.572356850393527</v>
      </c>
      <c r="F182" s="43">
        <f t="shared" si="9"/>
        <v>5.08</v>
      </c>
      <c r="G182" s="43">
        <f t="shared" si="10"/>
        <v>2413.1650479999689</v>
      </c>
      <c r="H182" s="43">
        <f t="shared" si="11"/>
        <v>29.45201436535395</v>
      </c>
      <c r="I182" s="42"/>
    </row>
    <row r="183" spans="1:9" ht="12.75" customHeight="1">
      <c r="A183" s="43">
        <v>50</v>
      </c>
      <c r="B183" s="43">
        <v>2</v>
      </c>
      <c r="C183" s="43">
        <v>400</v>
      </c>
      <c r="D183" s="43">
        <v>112</v>
      </c>
      <c r="E183" s="43">
        <f t="shared" si="8"/>
        <v>13.572356850393527</v>
      </c>
      <c r="F183" s="43">
        <f t="shared" si="9"/>
        <v>5.08</v>
      </c>
      <c r="G183" s="43">
        <f t="shared" si="10"/>
        <v>2757.9029119999645</v>
      </c>
      <c r="H183" s="43">
        <f t="shared" si="11"/>
        <v>30.4020793448815</v>
      </c>
      <c r="I183" s="42"/>
    </row>
    <row r="184" spans="1:9" ht="12.75" customHeight="1">
      <c r="A184" s="43">
        <v>50</v>
      </c>
      <c r="B184" s="43">
        <v>2</v>
      </c>
      <c r="C184" s="43">
        <v>450</v>
      </c>
      <c r="D184" s="43">
        <v>115.5</v>
      </c>
      <c r="E184" s="43">
        <f t="shared" si="8"/>
        <v>13.572356850393527</v>
      </c>
      <c r="F184" s="43">
        <f t="shared" si="9"/>
        <v>5.08</v>
      </c>
      <c r="G184" s="43">
        <f t="shared" si="10"/>
        <v>3102.6407759999602</v>
      </c>
      <c r="H184" s="43">
        <f t="shared" si="11"/>
        <v>31.352144324409046</v>
      </c>
      <c r="I184" s="42"/>
    </row>
    <row r="185" spans="1:9" ht="12.75" customHeight="1">
      <c r="A185" s="43">
        <v>50</v>
      </c>
      <c r="B185" s="43">
        <v>2</v>
      </c>
      <c r="C185" s="43">
        <v>500</v>
      </c>
      <c r="D185" s="43">
        <v>119</v>
      </c>
      <c r="E185" s="43">
        <f t="shared" si="8"/>
        <v>13.572356850393527</v>
      </c>
      <c r="F185" s="43">
        <f t="shared" si="9"/>
        <v>5.08</v>
      </c>
      <c r="G185" s="43">
        <f t="shared" si="10"/>
        <v>3447.3786399999558</v>
      </c>
      <c r="H185" s="43">
        <f t="shared" si="11"/>
        <v>32.302209303936593</v>
      </c>
      <c r="I185" s="42"/>
    </row>
    <row r="186" spans="1:9" ht="12.75" customHeight="1">
      <c r="A186" s="43">
        <v>50</v>
      </c>
      <c r="B186" s="43">
        <v>2</v>
      </c>
      <c r="C186" s="43">
        <v>550</v>
      </c>
      <c r="D186" s="43">
        <v>121.9</v>
      </c>
      <c r="E186" s="43">
        <f t="shared" si="8"/>
        <v>13.572356850393527</v>
      </c>
      <c r="F186" s="43">
        <f t="shared" si="9"/>
        <v>5.08</v>
      </c>
      <c r="G186" s="43">
        <f t="shared" si="10"/>
        <v>3792.1165039999514</v>
      </c>
      <c r="H186" s="43">
        <f t="shared" si="11"/>
        <v>33.08940600125942</v>
      </c>
      <c r="I186" s="42"/>
    </row>
    <row r="187" spans="1:9" ht="12.75" customHeight="1">
      <c r="A187" s="43">
        <v>50</v>
      </c>
      <c r="B187" s="43">
        <v>2</v>
      </c>
      <c r="C187" s="43">
        <v>600</v>
      </c>
      <c r="D187" s="43">
        <v>124.80000000000001</v>
      </c>
      <c r="E187" s="43">
        <f t="shared" si="8"/>
        <v>13.572356850393527</v>
      </c>
      <c r="F187" s="43">
        <f t="shared" si="9"/>
        <v>5.08</v>
      </c>
      <c r="G187" s="43">
        <f t="shared" si="10"/>
        <v>4136.8543679999475</v>
      </c>
      <c r="H187" s="43">
        <f t="shared" si="11"/>
        <v>33.876602698582246</v>
      </c>
      <c r="I187" s="42"/>
    </row>
    <row r="188" spans="1:9" ht="12.75" customHeight="1">
      <c r="A188" s="43">
        <v>50</v>
      </c>
      <c r="B188" s="43">
        <v>2</v>
      </c>
      <c r="C188" s="43">
        <v>650</v>
      </c>
      <c r="D188" s="43">
        <v>127.70000000000002</v>
      </c>
      <c r="E188" s="43">
        <f t="shared" si="8"/>
        <v>13.572356850393527</v>
      </c>
      <c r="F188" s="43">
        <f t="shared" si="9"/>
        <v>5.08</v>
      </c>
      <c r="G188" s="43">
        <f t="shared" si="10"/>
        <v>4481.5922319999427</v>
      </c>
      <c r="H188" s="43">
        <f t="shared" si="11"/>
        <v>34.663799395905073</v>
      </c>
      <c r="I188" s="42"/>
    </row>
    <row r="189" spans="1:9" ht="12.75" customHeight="1">
      <c r="A189" s="43">
        <v>50</v>
      </c>
      <c r="B189" s="43">
        <v>2</v>
      </c>
      <c r="C189" s="43">
        <v>700</v>
      </c>
      <c r="D189" s="43">
        <v>130.60000000000002</v>
      </c>
      <c r="E189" s="43">
        <f t="shared" si="8"/>
        <v>13.572356850393527</v>
      </c>
      <c r="F189" s="43">
        <f t="shared" si="9"/>
        <v>5.08</v>
      </c>
      <c r="G189" s="43">
        <f t="shared" si="10"/>
        <v>4826.3300959999378</v>
      </c>
      <c r="H189" s="43">
        <f t="shared" si="11"/>
        <v>35.450996093227893</v>
      </c>
      <c r="I189" s="42"/>
    </row>
    <row r="190" spans="1:9" ht="12.75" customHeight="1">
      <c r="A190" s="43">
        <v>50</v>
      </c>
      <c r="B190" s="43">
        <v>2</v>
      </c>
      <c r="C190" s="43">
        <v>750</v>
      </c>
      <c r="D190" s="43">
        <v>133.50000000000003</v>
      </c>
      <c r="E190" s="43">
        <f t="shared" si="8"/>
        <v>13.572356850393527</v>
      </c>
      <c r="F190" s="43">
        <f t="shared" si="9"/>
        <v>5.08</v>
      </c>
      <c r="G190" s="43">
        <f t="shared" si="10"/>
        <v>5171.0679599999339</v>
      </c>
      <c r="H190" s="43">
        <f t="shared" si="11"/>
        <v>36.238192790550727</v>
      </c>
      <c r="I190" s="42"/>
    </row>
    <row r="191" spans="1:9" ht="12.75" customHeight="1">
      <c r="A191" s="43">
        <v>50</v>
      </c>
      <c r="B191" s="43">
        <v>2</v>
      </c>
      <c r="C191" s="43">
        <v>800</v>
      </c>
      <c r="D191" s="43">
        <v>136.40000000000003</v>
      </c>
      <c r="E191" s="43">
        <f t="shared" si="8"/>
        <v>13.572356850393527</v>
      </c>
      <c r="F191" s="43">
        <f t="shared" si="9"/>
        <v>5.08</v>
      </c>
      <c r="G191" s="43">
        <f t="shared" si="10"/>
        <v>5515.8058239999291</v>
      </c>
      <c r="H191" s="43">
        <f t="shared" si="11"/>
        <v>37.025389487873547</v>
      </c>
      <c r="I191" s="42"/>
    </row>
    <row r="192" spans="1:9" ht="12.75" customHeight="1">
      <c r="A192" s="43">
        <v>50</v>
      </c>
      <c r="B192" s="43">
        <v>2</v>
      </c>
      <c r="C192" s="43">
        <v>850</v>
      </c>
      <c r="D192" s="43">
        <v>139.30000000000004</v>
      </c>
      <c r="E192" s="43">
        <f t="shared" si="8"/>
        <v>13.572356850393527</v>
      </c>
      <c r="F192" s="43">
        <f t="shared" si="9"/>
        <v>5.08</v>
      </c>
      <c r="G192" s="43">
        <f t="shared" si="10"/>
        <v>5860.5436879999252</v>
      </c>
      <c r="H192" s="43">
        <f t="shared" si="11"/>
        <v>37.812586185196373</v>
      </c>
      <c r="I192" s="42"/>
    </row>
    <row r="193" spans="1:9" ht="12.75" customHeight="1">
      <c r="A193" s="43">
        <v>50</v>
      </c>
      <c r="B193" s="43">
        <v>2</v>
      </c>
      <c r="C193" s="43">
        <v>900</v>
      </c>
      <c r="D193" s="43">
        <v>142.20000000000005</v>
      </c>
      <c r="E193" s="43">
        <f t="shared" si="8"/>
        <v>13.572356850393527</v>
      </c>
      <c r="F193" s="43">
        <f t="shared" si="9"/>
        <v>5.08</v>
      </c>
      <c r="G193" s="43">
        <f t="shared" si="10"/>
        <v>6205.2815519999203</v>
      </c>
      <c r="H193" s="43">
        <f t="shared" si="11"/>
        <v>38.5997828825192</v>
      </c>
      <c r="I193" s="42"/>
    </row>
    <row r="194" spans="1:9" ht="12.75" customHeight="1">
      <c r="A194" s="43">
        <v>50</v>
      </c>
      <c r="B194" s="43">
        <v>2</v>
      </c>
      <c r="C194" s="43">
        <v>950</v>
      </c>
      <c r="D194" s="43">
        <v>145.10000000000005</v>
      </c>
      <c r="E194" s="43">
        <f t="shared" si="8"/>
        <v>13.572356850393527</v>
      </c>
      <c r="F194" s="43">
        <f t="shared" si="9"/>
        <v>5.08</v>
      </c>
      <c r="G194" s="43">
        <f t="shared" si="10"/>
        <v>6550.0194159999164</v>
      </c>
      <c r="H194" s="43">
        <f t="shared" si="11"/>
        <v>39.386979579842027</v>
      </c>
      <c r="I194" s="42"/>
    </row>
    <row r="195" spans="1:9" ht="12.75" customHeight="1">
      <c r="A195" s="43">
        <v>50</v>
      </c>
      <c r="B195" s="43">
        <v>2</v>
      </c>
      <c r="C195" s="43">
        <v>1000</v>
      </c>
      <c r="D195" s="43">
        <v>148</v>
      </c>
      <c r="E195" s="43">
        <f t="shared" ref="E195:E258" si="12">A195/145.03773800722/0.0254</f>
        <v>13.572356850393527</v>
      </c>
      <c r="F195" s="43">
        <f t="shared" ref="F195:F258" si="13">B195*2.54</f>
        <v>5.08</v>
      </c>
      <c r="G195" s="43">
        <f t="shared" ref="G195:G258" si="14">C195/0.14503773800722</f>
        <v>6894.7572799999116</v>
      </c>
      <c r="H195" s="43">
        <f t="shared" ref="H195:H258" si="15">D195/145.03773800722/0.0254</f>
        <v>40.17417627716484</v>
      </c>
      <c r="I195" s="42"/>
    </row>
    <row r="196" spans="1:9" ht="12.75" customHeight="1">
      <c r="A196" s="43">
        <v>50</v>
      </c>
      <c r="B196" s="43">
        <v>2</v>
      </c>
      <c r="C196" s="43">
        <v>1100</v>
      </c>
      <c r="D196" s="43">
        <v>153.1</v>
      </c>
      <c r="E196" s="43">
        <f t="shared" si="12"/>
        <v>13.572356850393527</v>
      </c>
      <c r="F196" s="43">
        <f t="shared" si="13"/>
        <v>5.08</v>
      </c>
      <c r="G196" s="43">
        <f t="shared" si="14"/>
        <v>7584.2330079999028</v>
      </c>
      <c r="H196" s="43">
        <f t="shared" si="15"/>
        <v>41.558556675904981</v>
      </c>
      <c r="I196" s="42"/>
    </row>
    <row r="197" spans="1:9" ht="12.75" customHeight="1">
      <c r="A197" s="43">
        <v>50</v>
      </c>
      <c r="B197" s="43">
        <v>2</v>
      </c>
      <c r="C197" s="43">
        <v>1200</v>
      </c>
      <c r="D197" s="43">
        <v>158.19999999999999</v>
      </c>
      <c r="E197" s="43">
        <f t="shared" si="12"/>
        <v>13.572356850393527</v>
      </c>
      <c r="F197" s="43">
        <f t="shared" si="13"/>
        <v>5.08</v>
      </c>
      <c r="G197" s="43">
        <f t="shared" si="14"/>
        <v>8273.708735999895</v>
      </c>
      <c r="H197" s="43">
        <f t="shared" si="15"/>
        <v>42.942937074645116</v>
      </c>
      <c r="I197" s="42"/>
    </row>
    <row r="198" spans="1:9" ht="12.75" customHeight="1">
      <c r="A198" s="43">
        <v>50</v>
      </c>
      <c r="B198" s="43">
        <v>2</v>
      </c>
      <c r="C198" s="43">
        <v>1300</v>
      </c>
      <c r="D198" s="43">
        <v>163.29999999999998</v>
      </c>
      <c r="E198" s="43">
        <f t="shared" si="12"/>
        <v>13.572356850393527</v>
      </c>
      <c r="F198" s="43">
        <f t="shared" si="13"/>
        <v>5.08</v>
      </c>
      <c r="G198" s="43">
        <f t="shared" si="14"/>
        <v>8963.1844639998853</v>
      </c>
      <c r="H198" s="43">
        <f t="shared" si="15"/>
        <v>44.327317473385257</v>
      </c>
      <c r="I198" s="42"/>
    </row>
    <row r="199" spans="1:9" ht="12.75" customHeight="1">
      <c r="A199" s="43">
        <v>50</v>
      </c>
      <c r="B199" s="43">
        <v>2</v>
      </c>
      <c r="C199" s="43">
        <v>1400</v>
      </c>
      <c r="D199" s="43">
        <v>168.39999999999998</v>
      </c>
      <c r="E199" s="43">
        <f t="shared" si="12"/>
        <v>13.572356850393527</v>
      </c>
      <c r="F199" s="43">
        <f t="shared" si="13"/>
        <v>5.08</v>
      </c>
      <c r="G199" s="43">
        <f t="shared" si="14"/>
        <v>9652.6601919998757</v>
      </c>
      <c r="H199" s="43">
        <f t="shared" si="15"/>
        <v>45.711697872125391</v>
      </c>
      <c r="I199" s="42"/>
    </row>
    <row r="200" spans="1:9" ht="12.75" customHeight="1">
      <c r="A200" s="43">
        <v>50</v>
      </c>
      <c r="B200" s="43">
        <v>2</v>
      </c>
      <c r="C200" s="43">
        <v>1500</v>
      </c>
      <c r="D200" s="43">
        <v>173.49999999999997</v>
      </c>
      <c r="E200" s="43">
        <f t="shared" si="12"/>
        <v>13.572356850393527</v>
      </c>
      <c r="F200" s="43">
        <f t="shared" si="13"/>
        <v>5.08</v>
      </c>
      <c r="G200" s="43">
        <f t="shared" si="14"/>
        <v>10342.135919999868</v>
      </c>
      <c r="H200" s="43">
        <f t="shared" si="15"/>
        <v>47.096078270865526</v>
      </c>
      <c r="I200" s="42"/>
    </row>
    <row r="201" spans="1:9" ht="12.75" customHeight="1">
      <c r="A201" s="43">
        <v>50</v>
      </c>
      <c r="B201" s="43">
        <v>2</v>
      </c>
      <c r="C201" s="43">
        <v>1600</v>
      </c>
      <c r="D201" s="43">
        <v>178.59999999999997</v>
      </c>
      <c r="E201" s="43">
        <f t="shared" si="12"/>
        <v>13.572356850393527</v>
      </c>
      <c r="F201" s="43">
        <f t="shared" si="13"/>
        <v>5.08</v>
      </c>
      <c r="G201" s="43">
        <f t="shared" si="14"/>
        <v>11031.611647999858</v>
      </c>
      <c r="H201" s="43">
        <f t="shared" si="15"/>
        <v>48.480458669605667</v>
      </c>
      <c r="I201" s="42"/>
    </row>
    <row r="202" spans="1:9" ht="12.75" customHeight="1">
      <c r="A202" s="43">
        <v>50</v>
      </c>
      <c r="B202" s="43">
        <v>2</v>
      </c>
      <c r="C202" s="43">
        <v>1700</v>
      </c>
      <c r="D202" s="43">
        <v>183.69999999999996</v>
      </c>
      <c r="E202" s="43">
        <f t="shared" si="12"/>
        <v>13.572356850393527</v>
      </c>
      <c r="F202" s="43">
        <f t="shared" si="13"/>
        <v>5.08</v>
      </c>
      <c r="G202" s="43">
        <f t="shared" si="14"/>
        <v>11721.08737599985</v>
      </c>
      <c r="H202" s="43">
        <f t="shared" si="15"/>
        <v>49.864839068345809</v>
      </c>
      <c r="I202" s="42"/>
    </row>
    <row r="203" spans="1:9" ht="12.75" customHeight="1">
      <c r="A203" s="43">
        <v>50</v>
      </c>
      <c r="B203" s="43">
        <v>2</v>
      </c>
      <c r="C203" s="43">
        <v>1800</v>
      </c>
      <c r="D203" s="43">
        <v>188.79999999999995</v>
      </c>
      <c r="E203" s="43">
        <f t="shared" si="12"/>
        <v>13.572356850393527</v>
      </c>
      <c r="F203" s="43">
        <f t="shared" si="13"/>
        <v>5.08</v>
      </c>
      <c r="G203" s="43">
        <f t="shared" si="14"/>
        <v>12410.563103999841</v>
      </c>
      <c r="H203" s="43">
        <f t="shared" si="15"/>
        <v>51.249219467085943</v>
      </c>
      <c r="I203" s="42"/>
    </row>
    <row r="204" spans="1:9" ht="12.75" customHeight="1">
      <c r="A204" s="43">
        <v>50</v>
      </c>
      <c r="B204" s="43">
        <v>2</v>
      </c>
      <c r="C204" s="43">
        <v>1900</v>
      </c>
      <c r="D204" s="43">
        <v>193.89999999999995</v>
      </c>
      <c r="E204" s="43">
        <f t="shared" si="12"/>
        <v>13.572356850393527</v>
      </c>
      <c r="F204" s="43">
        <f t="shared" si="13"/>
        <v>5.08</v>
      </c>
      <c r="G204" s="43">
        <f t="shared" si="14"/>
        <v>13100.038831999833</v>
      </c>
      <c r="H204" s="43">
        <f t="shared" si="15"/>
        <v>52.633599865826085</v>
      </c>
      <c r="I204" s="42"/>
    </row>
    <row r="205" spans="1:9" ht="12.75" customHeight="1">
      <c r="A205" s="43">
        <v>50</v>
      </c>
      <c r="B205" s="43">
        <v>2</v>
      </c>
      <c r="C205" s="43">
        <v>2000</v>
      </c>
      <c r="D205" s="43">
        <v>199</v>
      </c>
      <c r="E205" s="43">
        <f t="shared" si="12"/>
        <v>13.572356850393527</v>
      </c>
      <c r="F205" s="43">
        <f t="shared" si="13"/>
        <v>5.08</v>
      </c>
      <c r="G205" s="43">
        <f t="shared" si="14"/>
        <v>13789.514559999823</v>
      </c>
      <c r="H205" s="43">
        <f t="shared" si="15"/>
        <v>54.017980264566233</v>
      </c>
      <c r="I205" s="42"/>
    </row>
    <row r="206" spans="1:9" ht="12.75" customHeight="1">
      <c r="A206" s="43">
        <v>50</v>
      </c>
      <c r="B206" s="43">
        <v>3</v>
      </c>
      <c r="C206" s="43">
        <v>50</v>
      </c>
      <c r="D206" s="43">
        <v>92</v>
      </c>
      <c r="E206" s="43">
        <f t="shared" si="12"/>
        <v>13.572356850393527</v>
      </c>
      <c r="F206" s="43">
        <f t="shared" si="13"/>
        <v>7.62</v>
      </c>
      <c r="G206" s="43">
        <f t="shared" si="14"/>
        <v>344.73786399999557</v>
      </c>
      <c r="H206" s="43">
        <f t="shared" si="15"/>
        <v>24.97313660472409</v>
      </c>
      <c r="I206" s="42"/>
    </row>
    <row r="207" spans="1:9" ht="12.75" customHeight="1">
      <c r="A207" s="43">
        <v>50</v>
      </c>
      <c r="B207" s="43">
        <v>3</v>
      </c>
      <c r="C207" s="43">
        <v>60</v>
      </c>
      <c r="D207" s="43">
        <v>94.6</v>
      </c>
      <c r="E207" s="43">
        <f t="shared" si="12"/>
        <v>13.572356850393527</v>
      </c>
      <c r="F207" s="43">
        <f t="shared" si="13"/>
        <v>7.62</v>
      </c>
      <c r="G207" s="43">
        <f t="shared" si="14"/>
        <v>413.6854367999947</v>
      </c>
      <c r="H207" s="43">
        <f t="shared" si="15"/>
        <v>25.67889916094455</v>
      </c>
      <c r="I207" s="42"/>
    </row>
    <row r="208" spans="1:9" ht="12.75" customHeight="1">
      <c r="A208" s="43">
        <v>50</v>
      </c>
      <c r="B208" s="43">
        <v>3</v>
      </c>
      <c r="C208" s="43">
        <v>70</v>
      </c>
      <c r="D208" s="43">
        <v>97.199999999999989</v>
      </c>
      <c r="E208" s="43">
        <f t="shared" si="12"/>
        <v>13.572356850393527</v>
      </c>
      <c r="F208" s="43">
        <f t="shared" si="13"/>
        <v>7.62</v>
      </c>
      <c r="G208" s="43">
        <f t="shared" si="14"/>
        <v>482.63300959999384</v>
      </c>
      <c r="H208" s="43">
        <f t="shared" si="15"/>
        <v>26.384661717165013</v>
      </c>
      <c r="I208" s="42"/>
    </row>
    <row r="209" spans="1:9" ht="12.75" customHeight="1">
      <c r="A209" s="43">
        <v>50</v>
      </c>
      <c r="B209" s="43">
        <v>3</v>
      </c>
      <c r="C209" s="43">
        <v>80</v>
      </c>
      <c r="D209" s="43">
        <v>99.799999999999983</v>
      </c>
      <c r="E209" s="43">
        <f t="shared" si="12"/>
        <v>13.572356850393527</v>
      </c>
      <c r="F209" s="43">
        <f t="shared" si="13"/>
        <v>7.62</v>
      </c>
      <c r="G209" s="43">
        <f t="shared" si="14"/>
        <v>551.58058239999298</v>
      </c>
      <c r="H209" s="43">
        <f t="shared" si="15"/>
        <v>27.090424273385477</v>
      </c>
      <c r="I209" s="42"/>
    </row>
    <row r="210" spans="1:9" ht="12.75" customHeight="1">
      <c r="A210" s="43">
        <v>50</v>
      </c>
      <c r="B210" s="43">
        <v>3</v>
      </c>
      <c r="C210" s="43">
        <v>90</v>
      </c>
      <c r="D210" s="43">
        <v>102.39999999999998</v>
      </c>
      <c r="E210" s="43">
        <f t="shared" si="12"/>
        <v>13.572356850393527</v>
      </c>
      <c r="F210" s="43">
        <f t="shared" si="13"/>
        <v>7.62</v>
      </c>
      <c r="G210" s="43">
        <f t="shared" si="14"/>
        <v>620.52815519999206</v>
      </c>
      <c r="H210" s="43">
        <f t="shared" si="15"/>
        <v>27.796186829605936</v>
      </c>
      <c r="I210" s="42"/>
    </row>
    <row r="211" spans="1:9" ht="12.75" customHeight="1">
      <c r="A211" s="43">
        <v>50</v>
      </c>
      <c r="B211" s="43">
        <v>3</v>
      </c>
      <c r="C211" s="43">
        <v>100</v>
      </c>
      <c r="D211" s="43">
        <v>105</v>
      </c>
      <c r="E211" s="43">
        <f t="shared" si="12"/>
        <v>13.572356850393527</v>
      </c>
      <c r="F211" s="43">
        <f t="shared" si="13"/>
        <v>7.62</v>
      </c>
      <c r="G211" s="43">
        <f t="shared" si="14"/>
        <v>689.47572799999114</v>
      </c>
      <c r="H211" s="43">
        <f t="shared" si="15"/>
        <v>28.501949385826407</v>
      </c>
      <c r="I211" s="42"/>
    </row>
    <row r="212" spans="1:9" ht="12.75" customHeight="1">
      <c r="A212" s="43">
        <v>50</v>
      </c>
      <c r="B212" s="43">
        <v>3</v>
      </c>
      <c r="C212" s="43">
        <v>150</v>
      </c>
      <c r="D212" s="43">
        <v>113.75</v>
      </c>
      <c r="E212" s="43">
        <f t="shared" si="12"/>
        <v>13.572356850393527</v>
      </c>
      <c r="F212" s="43">
        <f t="shared" si="13"/>
        <v>7.62</v>
      </c>
      <c r="G212" s="43">
        <f t="shared" si="14"/>
        <v>1034.2135919999869</v>
      </c>
      <c r="H212" s="43">
        <f t="shared" si="15"/>
        <v>30.877111834645273</v>
      </c>
      <c r="I212" s="42"/>
    </row>
    <row r="213" spans="1:9" ht="12.75" customHeight="1">
      <c r="A213" s="43">
        <v>50</v>
      </c>
      <c r="B213" s="43">
        <v>3</v>
      </c>
      <c r="C213" s="43">
        <v>200</v>
      </c>
      <c r="D213" s="43">
        <v>122.5</v>
      </c>
      <c r="E213" s="43">
        <f t="shared" si="12"/>
        <v>13.572356850393527</v>
      </c>
      <c r="F213" s="43">
        <f t="shared" si="13"/>
        <v>7.62</v>
      </c>
      <c r="G213" s="43">
        <f t="shared" si="14"/>
        <v>1378.9514559999823</v>
      </c>
      <c r="H213" s="43">
        <f t="shared" si="15"/>
        <v>33.252274283464139</v>
      </c>
      <c r="I213" s="42"/>
    </row>
    <row r="214" spans="1:9" ht="12.75" customHeight="1">
      <c r="A214" s="43">
        <v>50</v>
      </c>
      <c r="B214" s="43">
        <v>3</v>
      </c>
      <c r="C214" s="43">
        <v>250</v>
      </c>
      <c r="D214" s="43">
        <v>131.25</v>
      </c>
      <c r="E214" s="43">
        <f t="shared" si="12"/>
        <v>13.572356850393527</v>
      </c>
      <c r="F214" s="43">
        <f t="shared" si="13"/>
        <v>7.62</v>
      </c>
      <c r="G214" s="43">
        <f t="shared" si="14"/>
        <v>1723.6893199999779</v>
      </c>
      <c r="H214" s="43">
        <f t="shared" si="15"/>
        <v>35.627436732283009</v>
      </c>
      <c r="I214" s="42"/>
    </row>
    <row r="215" spans="1:9" ht="12.75" customHeight="1">
      <c r="A215" s="43">
        <v>50</v>
      </c>
      <c r="B215" s="43">
        <v>3</v>
      </c>
      <c r="C215" s="43">
        <v>300</v>
      </c>
      <c r="D215" s="43">
        <v>140</v>
      </c>
      <c r="E215" s="43">
        <f t="shared" si="12"/>
        <v>13.572356850393527</v>
      </c>
      <c r="F215" s="43">
        <f t="shared" si="13"/>
        <v>7.62</v>
      </c>
      <c r="G215" s="43">
        <f t="shared" si="14"/>
        <v>2068.4271839999737</v>
      </c>
      <c r="H215" s="43">
        <f t="shared" si="15"/>
        <v>38.002599181101871</v>
      </c>
      <c r="I215" s="42"/>
    </row>
    <row r="216" spans="1:9" ht="12.75" customHeight="1">
      <c r="A216" s="43">
        <v>50</v>
      </c>
      <c r="B216" s="43">
        <v>3</v>
      </c>
      <c r="C216" s="43">
        <v>350</v>
      </c>
      <c r="D216" s="43">
        <v>144.75</v>
      </c>
      <c r="E216" s="43">
        <f t="shared" si="12"/>
        <v>13.572356850393527</v>
      </c>
      <c r="F216" s="43">
        <f t="shared" si="13"/>
        <v>7.62</v>
      </c>
      <c r="G216" s="43">
        <f t="shared" si="14"/>
        <v>2413.1650479999689</v>
      </c>
      <c r="H216" s="43">
        <f t="shared" si="15"/>
        <v>39.29197308188926</v>
      </c>
      <c r="I216" s="42"/>
    </row>
    <row r="217" spans="1:9" ht="12.75" customHeight="1">
      <c r="A217" s="43">
        <v>50</v>
      </c>
      <c r="B217" s="43">
        <v>3</v>
      </c>
      <c r="C217" s="43">
        <v>400</v>
      </c>
      <c r="D217" s="43">
        <v>149.5</v>
      </c>
      <c r="E217" s="43">
        <f t="shared" si="12"/>
        <v>13.572356850393527</v>
      </c>
      <c r="F217" s="43">
        <f t="shared" si="13"/>
        <v>7.62</v>
      </c>
      <c r="G217" s="43">
        <f t="shared" si="14"/>
        <v>2757.9029119999645</v>
      </c>
      <c r="H217" s="43">
        <f t="shared" si="15"/>
        <v>40.581346982676642</v>
      </c>
      <c r="I217" s="42"/>
    </row>
    <row r="218" spans="1:9" ht="12.75" customHeight="1">
      <c r="A218" s="43">
        <v>50</v>
      </c>
      <c r="B218" s="43">
        <v>3</v>
      </c>
      <c r="C218" s="43">
        <v>450</v>
      </c>
      <c r="D218" s="43">
        <v>154.25</v>
      </c>
      <c r="E218" s="43">
        <f t="shared" si="12"/>
        <v>13.572356850393527</v>
      </c>
      <c r="F218" s="43">
        <f t="shared" si="13"/>
        <v>7.62</v>
      </c>
      <c r="G218" s="43">
        <f t="shared" si="14"/>
        <v>3102.6407759999602</v>
      </c>
      <c r="H218" s="43">
        <f t="shared" si="15"/>
        <v>41.870720883464031</v>
      </c>
      <c r="I218" s="42"/>
    </row>
    <row r="219" spans="1:9" ht="12.75" customHeight="1">
      <c r="A219" s="43">
        <v>50</v>
      </c>
      <c r="B219" s="43">
        <v>3</v>
      </c>
      <c r="C219" s="43">
        <v>500</v>
      </c>
      <c r="D219" s="43">
        <v>159</v>
      </c>
      <c r="E219" s="43">
        <f t="shared" si="12"/>
        <v>13.572356850393527</v>
      </c>
      <c r="F219" s="43">
        <f t="shared" si="13"/>
        <v>7.62</v>
      </c>
      <c r="G219" s="43">
        <f t="shared" si="14"/>
        <v>3447.3786399999558</v>
      </c>
      <c r="H219" s="43">
        <f t="shared" si="15"/>
        <v>43.16009478425142</v>
      </c>
      <c r="I219" s="42"/>
    </row>
    <row r="220" spans="1:9" ht="12.75" customHeight="1">
      <c r="A220" s="43">
        <v>50</v>
      </c>
      <c r="B220" s="43">
        <v>3</v>
      </c>
      <c r="C220" s="43">
        <v>550</v>
      </c>
      <c r="D220" s="43">
        <v>167.3</v>
      </c>
      <c r="E220" s="43">
        <f t="shared" si="12"/>
        <v>13.572356850393527</v>
      </c>
      <c r="F220" s="43">
        <f t="shared" si="13"/>
        <v>7.62</v>
      </c>
      <c r="G220" s="43">
        <f t="shared" si="14"/>
        <v>3792.1165039999514</v>
      </c>
      <c r="H220" s="43">
        <f t="shared" si="15"/>
        <v>45.413106021416738</v>
      </c>
      <c r="I220" s="42"/>
    </row>
    <row r="221" spans="1:9" ht="12.75" customHeight="1">
      <c r="A221" s="43">
        <v>50</v>
      </c>
      <c r="B221" s="43">
        <v>3</v>
      </c>
      <c r="C221" s="43">
        <v>600</v>
      </c>
      <c r="D221" s="43">
        <v>175.60000000000002</v>
      </c>
      <c r="E221" s="43">
        <f t="shared" si="12"/>
        <v>13.572356850393527</v>
      </c>
      <c r="F221" s="43">
        <f t="shared" si="13"/>
        <v>7.62</v>
      </c>
      <c r="G221" s="43">
        <f t="shared" si="14"/>
        <v>4136.8543679999475</v>
      </c>
      <c r="H221" s="43">
        <f t="shared" si="15"/>
        <v>47.666117258582069</v>
      </c>
      <c r="I221" s="42"/>
    </row>
    <row r="222" spans="1:9" ht="12.75" customHeight="1">
      <c r="A222" s="43">
        <v>50</v>
      </c>
      <c r="B222" s="43">
        <v>3</v>
      </c>
      <c r="C222" s="43">
        <v>650</v>
      </c>
      <c r="D222" s="43">
        <v>183.90000000000003</v>
      </c>
      <c r="E222" s="43">
        <f t="shared" si="12"/>
        <v>13.572356850393527</v>
      </c>
      <c r="F222" s="43">
        <f t="shared" si="13"/>
        <v>7.62</v>
      </c>
      <c r="G222" s="43">
        <f t="shared" si="14"/>
        <v>4481.5922319999427</v>
      </c>
      <c r="H222" s="43">
        <f t="shared" si="15"/>
        <v>49.919128495747394</v>
      </c>
      <c r="I222" s="42"/>
    </row>
    <row r="223" spans="1:9" ht="12.75" customHeight="1">
      <c r="A223" s="43">
        <v>50</v>
      </c>
      <c r="B223" s="43">
        <v>3</v>
      </c>
      <c r="C223" s="43">
        <v>700</v>
      </c>
      <c r="D223" s="43">
        <v>192.20000000000005</v>
      </c>
      <c r="E223" s="43">
        <f t="shared" si="12"/>
        <v>13.572356850393527</v>
      </c>
      <c r="F223" s="43">
        <f t="shared" si="13"/>
        <v>7.62</v>
      </c>
      <c r="G223" s="43">
        <f t="shared" si="14"/>
        <v>4826.3300959999378</v>
      </c>
      <c r="H223" s="43">
        <f t="shared" si="15"/>
        <v>52.172139732912726</v>
      </c>
      <c r="I223" s="42"/>
    </row>
    <row r="224" spans="1:9" ht="12.75" customHeight="1">
      <c r="A224" s="43">
        <v>50</v>
      </c>
      <c r="B224" s="43">
        <v>3</v>
      </c>
      <c r="C224" s="43">
        <v>750</v>
      </c>
      <c r="D224" s="43">
        <v>200.50000000000006</v>
      </c>
      <c r="E224" s="43">
        <f t="shared" si="12"/>
        <v>13.572356850393527</v>
      </c>
      <c r="F224" s="43">
        <f t="shared" si="13"/>
        <v>7.62</v>
      </c>
      <c r="G224" s="43">
        <f t="shared" si="14"/>
        <v>5171.0679599999339</v>
      </c>
      <c r="H224" s="43">
        <f t="shared" si="15"/>
        <v>54.42515097007805</v>
      </c>
      <c r="I224" s="42"/>
    </row>
    <row r="225" spans="1:9" ht="12.75" customHeight="1">
      <c r="A225" s="43">
        <v>50</v>
      </c>
      <c r="B225" s="43">
        <v>3</v>
      </c>
      <c r="C225" s="43">
        <v>800</v>
      </c>
      <c r="D225" s="43">
        <v>208.80000000000007</v>
      </c>
      <c r="E225" s="43">
        <f t="shared" si="12"/>
        <v>13.572356850393527</v>
      </c>
      <c r="F225" s="43">
        <f t="shared" si="13"/>
        <v>7.62</v>
      </c>
      <c r="G225" s="43">
        <f t="shared" si="14"/>
        <v>5515.8058239999291</v>
      </c>
      <c r="H225" s="43">
        <f t="shared" si="15"/>
        <v>56.678162207243382</v>
      </c>
      <c r="I225" s="42"/>
    </row>
    <row r="226" spans="1:9" ht="12.75" customHeight="1">
      <c r="A226" s="43">
        <v>50</v>
      </c>
      <c r="B226" s="43">
        <v>3</v>
      </c>
      <c r="C226" s="43">
        <v>850</v>
      </c>
      <c r="D226" s="43">
        <v>217.10000000000008</v>
      </c>
      <c r="E226" s="43">
        <f t="shared" si="12"/>
        <v>13.572356850393527</v>
      </c>
      <c r="F226" s="43">
        <f t="shared" si="13"/>
        <v>7.62</v>
      </c>
      <c r="G226" s="43">
        <f t="shared" si="14"/>
        <v>5860.5436879999252</v>
      </c>
      <c r="H226" s="43">
        <f t="shared" si="15"/>
        <v>58.931173444408721</v>
      </c>
      <c r="I226" s="42"/>
    </row>
    <row r="227" spans="1:9" ht="12.75" customHeight="1">
      <c r="A227" s="43">
        <v>50</v>
      </c>
      <c r="B227" s="43">
        <v>3</v>
      </c>
      <c r="C227" s="43">
        <v>900</v>
      </c>
      <c r="D227" s="43">
        <v>225.40000000000009</v>
      </c>
      <c r="E227" s="43">
        <f t="shared" si="12"/>
        <v>13.572356850393527</v>
      </c>
      <c r="F227" s="43">
        <f t="shared" si="13"/>
        <v>7.62</v>
      </c>
      <c r="G227" s="43">
        <f t="shared" si="14"/>
        <v>6205.2815519999203</v>
      </c>
      <c r="H227" s="43">
        <f t="shared" si="15"/>
        <v>61.184184681574038</v>
      </c>
      <c r="I227" s="42"/>
    </row>
    <row r="228" spans="1:9" ht="12.75" customHeight="1">
      <c r="A228" s="43">
        <v>50</v>
      </c>
      <c r="B228" s="43">
        <v>3</v>
      </c>
      <c r="C228" s="43">
        <v>950</v>
      </c>
      <c r="D228" s="43">
        <v>233.7000000000001</v>
      </c>
      <c r="E228" s="43">
        <f t="shared" si="12"/>
        <v>13.572356850393527</v>
      </c>
      <c r="F228" s="43">
        <f t="shared" si="13"/>
        <v>7.62</v>
      </c>
      <c r="G228" s="43">
        <f t="shared" si="14"/>
        <v>6550.0194159999164</v>
      </c>
      <c r="H228" s="43">
        <f t="shared" si="15"/>
        <v>63.43719591873937</v>
      </c>
      <c r="I228" s="42"/>
    </row>
    <row r="229" spans="1:9" ht="12.75" customHeight="1">
      <c r="A229" s="43">
        <v>50</v>
      </c>
      <c r="B229" s="43">
        <v>3</v>
      </c>
      <c r="C229" s="43">
        <v>1000</v>
      </c>
      <c r="D229" s="43">
        <v>242</v>
      </c>
      <c r="E229" s="43">
        <f t="shared" si="12"/>
        <v>13.572356850393527</v>
      </c>
      <c r="F229" s="43">
        <f t="shared" si="13"/>
        <v>7.62</v>
      </c>
      <c r="G229" s="43">
        <f t="shared" si="14"/>
        <v>6894.7572799999116</v>
      </c>
      <c r="H229" s="43">
        <f t="shared" si="15"/>
        <v>65.690207155904673</v>
      </c>
      <c r="I229" s="42"/>
    </row>
    <row r="230" spans="1:9" ht="12.75" customHeight="1">
      <c r="A230" s="43">
        <v>50</v>
      </c>
      <c r="B230" s="43">
        <v>3</v>
      </c>
      <c r="C230" s="43">
        <v>1100</v>
      </c>
      <c r="D230" s="43">
        <v>254.1</v>
      </c>
      <c r="E230" s="43">
        <f t="shared" si="12"/>
        <v>13.572356850393527</v>
      </c>
      <c r="F230" s="43">
        <f t="shared" si="13"/>
        <v>7.62</v>
      </c>
      <c r="G230" s="43">
        <f t="shared" si="14"/>
        <v>7584.2330079999028</v>
      </c>
      <c r="H230" s="43">
        <f t="shared" si="15"/>
        <v>68.9747175136999</v>
      </c>
      <c r="I230" s="42"/>
    </row>
    <row r="231" spans="1:9" ht="12.75" customHeight="1">
      <c r="A231" s="43">
        <v>50</v>
      </c>
      <c r="B231" s="43">
        <v>3</v>
      </c>
      <c r="C231" s="43">
        <v>1200</v>
      </c>
      <c r="D231" s="43">
        <v>266.2</v>
      </c>
      <c r="E231" s="43">
        <f t="shared" si="12"/>
        <v>13.572356850393527</v>
      </c>
      <c r="F231" s="43">
        <f t="shared" si="13"/>
        <v>7.62</v>
      </c>
      <c r="G231" s="43">
        <f t="shared" si="14"/>
        <v>8273.708735999895</v>
      </c>
      <c r="H231" s="43">
        <f t="shared" si="15"/>
        <v>72.259227871495142</v>
      </c>
      <c r="I231" s="42"/>
    </row>
    <row r="232" spans="1:9" ht="12.75" customHeight="1">
      <c r="A232" s="43">
        <v>50</v>
      </c>
      <c r="B232" s="43">
        <v>3</v>
      </c>
      <c r="C232" s="43">
        <v>1300</v>
      </c>
      <c r="D232" s="43">
        <v>278.3</v>
      </c>
      <c r="E232" s="43">
        <f t="shared" si="12"/>
        <v>13.572356850393527</v>
      </c>
      <c r="F232" s="43">
        <f t="shared" si="13"/>
        <v>7.62</v>
      </c>
      <c r="G232" s="43">
        <f t="shared" si="14"/>
        <v>8963.1844639998853</v>
      </c>
      <c r="H232" s="43">
        <f t="shared" si="15"/>
        <v>75.543738229290369</v>
      </c>
      <c r="I232" s="42"/>
    </row>
    <row r="233" spans="1:9" ht="12.75" customHeight="1">
      <c r="A233" s="43">
        <v>50</v>
      </c>
      <c r="B233" s="43">
        <v>3</v>
      </c>
      <c r="C233" s="43">
        <v>1400</v>
      </c>
      <c r="D233" s="43">
        <v>290.40000000000003</v>
      </c>
      <c r="E233" s="43">
        <f t="shared" si="12"/>
        <v>13.572356850393527</v>
      </c>
      <c r="F233" s="43">
        <f t="shared" si="13"/>
        <v>7.62</v>
      </c>
      <c r="G233" s="43">
        <f t="shared" si="14"/>
        <v>9652.6601919998757</v>
      </c>
      <c r="H233" s="43">
        <f t="shared" si="15"/>
        <v>78.828248587085611</v>
      </c>
      <c r="I233" s="42"/>
    </row>
    <row r="234" spans="1:9" ht="12.75" customHeight="1">
      <c r="A234" s="43">
        <v>50</v>
      </c>
      <c r="B234" s="43">
        <v>3</v>
      </c>
      <c r="C234" s="43">
        <v>1500</v>
      </c>
      <c r="D234" s="43">
        <v>302.50000000000006</v>
      </c>
      <c r="E234" s="43">
        <f t="shared" si="12"/>
        <v>13.572356850393527</v>
      </c>
      <c r="F234" s="43">
        <f t="shared" si="13"/>
        <v>7.62</v>
      </c>
      <c r="G234" s="43">
        <f t="shared" si="14"/>
        <v>10342.135919999868</v>
      </c>
      <c r="H234" s="43">
        <f t="shared" si="15"/>
        <v>82.112758944880852</v>
      </c>
      <c r="I234" s="42"/>
    </row>
    <row r="235" spans="1:9" ht="12.75" customHeight="1">
      <c r="A235" s="43">
        <v>50</v>
      </c>
      <c r="B235" s="43">
        <v>3</v>
      </c>
      <c r="C235" s="43">
        <v>1600</v>
      </c>
      <c r="D235" s="43">
        <v>314.60000000000008</v>
      </c>
      <c r="E235" s="43">
        <f t="shared" si="12"/>
        <v>13.572356850393527</v>
      </c>
      <c r="F235" s="43">
        <f t="shared" si="13"/>
        <v>7.62</v>
      </c>
      <c r="G235" s="43">
        <f t="shared" si="14"/>
        <v>11031.611647999858</v>
      </c>
      <c r="H235" s="43">
        <f t="shared" si="15"/>
        <v>85.397269302676094</v>
      </c>
      <c r="I235" s="42"/>
    </row>
    <row r="236" spans="1:9" ht="12.75" customHeight="1">
      <c r="A236" s="43">
        <v>50</v>
      </c>
      <c r="B236" s="43">
        <v>3</v>
      </c>
      <c r="C236" s="43">
        <v>1700</v>
      </c>
      <c r="D236" s="43">
        <v>326.7000000000001</v>
      </c>
      <c r="E236" s="43">
        <f t="shared" si="12"/>
        <v>13.572356850393527</v>
      </c>
      <c r="F236" s="43">
        <f t="shared" si="13"/>
        <v>7.62</v>
      </c>
      <c r="G236" s="43">
        <f t="shared" si="14"/>
        <v>11721.08737599985</v>
      </c>
      <c r="H236" s="43">
        <f t="shared" si="15"/>
        <v>88.681779660471335</v>
      </c>
      <c r="I236" s="42"/>
    </row>
    <row r="237" spans="1:9" ht="12.75" customHeight="1">
      <c r="A237" s="43">
        <v>50</v>
      </c>
      <c r="B237" s="43">
        <v>3</v>
      </c>
      <c r="C237" s="43">
        <v>1800</v>
      </c>
      <c r="D237" s="43">
        <v>338.80000000000013</v>
      </c>
      <c r="E237" s="43">
        <f t="shared" si="12"/>
        <v>13.572356850393527</v>
      </c>
      <c r="F237" s="43">
        <f t="shared" si="13"/>
        <v>7.62</v>
      </c>
      <c r="G237" s="43">
        <f t="shared" si="14"/>
        <v>12410.563103999841</v>
      </c>
      <c r="H237" s="43">
        <f t="shared" si="15"/>
        <v>91.966290018266577</v>
      </c>
      <c r="I237" s="42"/>
    </row>
    <row r="238" spans="1:9" ht="12.75" customHeight="1">
      <c r="A238" s="43">
        <v>50</v>
      </c>
      <c r="B238" s="43">
        <v>3</v>
      </c>
      <c r="C238" s="43">
        <v>1900</v>
      </c>
      <c r="D238" s="43">
        <v>350.90000000000015</v>
      </c>
      <c r="E238" s="43">
        <f t="shared" si="12"/>
        <v>13.572356850393527</v>
      </c>
      <c r="F238" s="43">
        <f t="shared" si="13"/>
        <v>7.62</v>
      </c>
      <c r="G238" s="43">
        <f t="shared" si="14"/>
        <v>13100.038831999833</v>
      </c>
      <c r="H238" s="43">
        <f t="shared" si="15"/>
        <v>95.250800376061818</v>
      </c>
      <c r="I238" s="42"/>
    </row>
    <row r="239" spans="1:9" ht="12.75" customHeight="1">
      <c r="A239" s="43">
        <v>50</v>
      </c>
      <c r="B239" s="43">
        <v>3</v>
      </c>
      <c r="C239" s="43">
        <v>2000</v>
      </c>
      <c r="D239" s="43">
        <v>363</v>
      </c>
      <c r="E239" s="43">
        <f t="shared" si="12"/>
        <v>13.572356850393527</v>
      </c>
      <c r="F239" s="43">
        <f t="shared" si="13"/>
        <v>7.62</v>
      </c>
      <c r="G239" s="43">
        <f t="shared" si="14"/>
        <v>13789.514559999823</v>
      </c>
      <c r="H239" s="43">
        <f t="shared" si="15"/>
        <v>98.535310733857003</v>
      </c>
      <c r="I239" s="42"/>
    </row>
    <row r="240" spans="1:9" ht="12.75" customHeight="1">
      <c r="A240" s="43">
        <v>50</v>
      </c>
      <c r="B240" s="43">
        <v>4</v>
      </c>
      <c r="C240" s="43">
        <v>50</v>
      </c>
      <c r="D240" s="43">
        <v>106</v>
      </c>
      <c r="E240" s="43">
        <f t="shared" si="12"/>
        <v>13.572356850393527</v>
      </c>
      <c r="F240" s="43">
        <f t="shared" si="13"/>
        <v>10.16</v>
      </c>
      <c r="G240" s="43">
        <f t="shared" si="14"/>
        <v>344.73786399999557</v>
      </c>
      <c r="H240" s="43">
        <f t="shared" si="15"/>
        <v>28.773396522834275</v>
      </c>
      <c r="I240" s="42"/>
    </row>
    <row r="241" spans="1:9" ht="12.75" customHeight="1">
      <c r="A241" s="43">
        <v>50</v>
      </c>
      <c r="B241" s="43">
        <v>4</v>
      </c>
      <c r="C241" s="43">
        <v>60</v>
      </c>
      <c r="D241" s="43">
        <v>110</v>
      </c>
      <c r="E241" s="43">
        <f t="shared" si="12"/>
        <v>13.572356850393527</v>
      </c>
      <c r="F241" s="43">
        <f t="shared" si="13"/>
        <v>10.16</v>
      </c>
      <c r="G241" s="43">
        <f t="shared" si="14"/>
        <v>413.6854367999947</v>
      </c>
      <c r="H241" s="43">
        <f t="shared" si="15"/>
        <v>29.859185070865756</v>
      </c>
      <c r="I241" s="42"/>
    </row>
    <row r="242" spans="1:9" ht="12.75" customHeight="1">
      <c r="A242" s="43">
        <v>50</v>
      </c>
      <c r="B242" s="43">
        <v>4</v>
      </c>
      <c r="C242" s="43">
        <v>70</v>
      </c>
      <c r="D242" s="43">
        <v>114</v>
      </c>
      <c r="E242" s="43">
        <f t="shared" si="12"/>
        <v>13.572356850393527</v>
      </c>
      <c r="F242" s="43">
        <f t="shared" si="13"/>
        <v>10.16</v>
      </c>
      <c r="G242" s="43">
        <f t="shared" si="14"/>
        <v>482.63300959999384</v>
      </c>
      <c r="H242" s="43">
        <f t="shared" si="15"/>
        <v>30.94497361889724</v>
      </c>
      <c r="I242" s="42"/>
    </row>
    <row r="243" spans="1:9" ht="12.75" customHeight="1">
      <c r="A243" s="43">
        <v>50</v>
      </c>
      <c r="B243" s="43">
        <v>4</v>
      </c>
      <c r="C243" s="43">
        <v>80</v>
      </c>
      <c r="D243" s="43">
        <v>118</v>
      </c>
      <c r="E243" s="43">
        <f t="shared" si="12"/>
        <v>13.572356850393527</v>
      </c>
      <c r="F243" s="43">
        <f t="shared" si="13"/>
        <v>10.16</v>
      </c>
      <c r="G243" s="43">
        <f t="shared" si="14"/>
        <v>551.58058239999298</v>
      </c>
      <c r="H243" s="43">
        <f t="shared" si="15"/>
        <v>32.030762166928724</v>
      </c>
      <c r="I243" s="42"/>
    </row>
    <row r="244" spans="1:9" ht="12.75" customHeight="1">
      <c r="A244" s="43">
        <v>50</v>
      </c>
      <c r="B244" s="43">
        <v>4</v>
      </c>
      <c r="C244" s="43">
        <v>90</v>
      </c>
      <c r="D244" s="43">
        <v>122</v>
      </c>
      <c r="E244" s="43">
        <f t="shared" si="12"/>
        <v>13.572356850393527</v>
      </c>
      <c r="F244" s="43">
        <f t="shared" si="13"/>
        <v>10.16</v>
      </c>
      <c r="G244" s="43">
        <f t="shared" si="14"/>
        <v>620.52815519999206</v>
      </c>
      <c r="H244" s="43">
        <f t="shared" si="15"/>
        <v>33.116550714960205</v>
      </c>
      <c r="I244" s="42"/>
    </row>
    <row r="245" spans="1:9" ht="12.75" customHeight="1">
      <c r="A245" s="43">
        <v>50</v>
      </c>
      <c r="B245" s="43">
        <v>4</v>
      </c>
      <c r="C245" s="43">
        <v>100</v>
      </c>
      <c r="D245" s="43">
        <v>126</v>
      </c>
      <c r="E245" s="43">
        <f t="shared" si="12"/>
        <v>13.572356850393527</v>
      </c>
      <c r="F245" s="43">
        <f t="shared" si="13"/>
        <v>10.16</v>
      </c>
      <c r="G245" s="43">
        <f t="shared" si="14"/>
        <v>689.47572799999114</v>
      </c>
      <c r="H245" s="43">
        <f t="shared" si="15"/>
        <v>34.202339262991686</v>
      </c>
      <c r="I245" s="42"/>
    </row>
    <row r="246" spans="1:9" ht="12.75" customHeight="1">
      <c r="A246" s="43">
        <v>50</v>
      </c>
      <c r="B246" s="43">
        <v>4</v>
      </c>
      <c r="C246" s="43">
        <v>150</v>
      </c>
      <c r="D246" s="43">
        <v>141.25</v>
      </c>
      <c r="E246" s="43">
        <f t="shared" si="12"/>
        <v>13.572356850393527</v>
      </c>
      <c r="F246" s="43">
        <f t="shared" si="13"/>
        <v>10.16</v>
      </c>
      <c r="G246" s="43">
        <f t="shared" si="14"/>
        <v>1034.2135919999869</v>
      </c>
      <c r="H246" s="43">
        <f t="shared" si="15"/>
        <v>38.341908102361714</v>
      </c>
      <c r="I246" s="42"/>
    </row>
    <row r="247" spans="1:9" ht="12.75" customHeight="1">
      <c r="A247" s="43">
        <v>50</v>
      </c>
      <c r="B247" s="43">
        <v>4</v>
      </c>
      <c r="C247" s="43">
        <v>200</v>
      </c>
      <c r="D247" s="43">
        <v>156.5</v>
      </c>
      <c r="E247" s="43">
        <f t="shared" si="12"/>
        <v>13.572356850393527</v>
      </c>
      <c r="F247" s="43">
        <f t="shared" si="13"/>
        <v>10.16</v>
      </c>
      <c r="G247" s="43">
        <f t="shared" si="14"/>
        <v>1378.9514559999823</v>
      </c>
      <c r="H247" s="43">
        <f t="shared" si="15"/>
        <v>42.481476941731742</v>
      </c>
      <c r="I247" s="42"/>
    </row>
    <row r="248" spans="1:9" ht="12.75" customHeight="1">
      <c r="A248" s="43">
        <v>50</v>
      </c>
      <c r="B248" s="43">
        <v>4</v>
      </c>
      <c r="C248" s="43">
        <v>250</v>
      </c>
      <c r="D248" s="43">
        <v>171.75</v>
      </c>
      <c r="E248" s="43">
        <f t="shared" si="12"/>
        <v>13.572356850393527</v>
      </c>
      <c r="F248" s="43">
        <f t="shared" si="13"/>
        <v>10.16</v>
      </c>
      <c r="G248" s="43">
        <f t="shared" si="14"/>
        <v>1723.6893199999779</v>
      </c>
      <c r="H248" s="43">
        <f t="shared" si="15"/>
        <v>46.621045781101763</v>
      </c>
      <c r="I248" s="42"/>
    </row>
    <row r="249" spans="1:9" ht="12.75" customHeight="1">
      <c r="A249" s="43">
        <v>50</v>
      </c>
      <c r="B249" s="43">
        <v>4</v>
      </c>
      <c r="C249" s="43">
        <v>300</v>
      </c>
      <c r="D249" s="43">
        <v>187</v>
      </c>
      <c r="E249" s="43">
        <f t="shared" si="12"/>
        <v>13.572356850393527</v>
      </c>
      <c r="F249" s="43">
        <f t="shared" si="13"/>
        <v>10.16</v>
      </c>
      <c r="G249" s="43">
        <f t="shared" si="14"/>
        <v>2068.4271839999737</v>
      </c>
      <c r="H249" s="43">
        <f t="shared" si="15"/>
        <v>50.760614620471792</v>
      </c>
      <c r="I249" s="42"/>
    </row>
    <row r="250" spans="1:9" ht="12.75" customHeight="1">
      <c r="A250" s="43">
        <v>50</v>
      </c>
      <c r="B250" s="43">
        <v>4</v>
      </c>
      <c r="C250" s="43">
        <v>350</v>
      </c>
      <c r="D250" s="43">
        <v>201.25</v>
      </c>
      <c r="E250" s="43">
        <f t="shared" si="12"/>
        <v>13.572356850393527</v>
      </c>
      <c r="F250" s="43">
        <f t="shared" si="13"/>
        <v>10.16</v>
      </c>
      <c r="G250" s="43">
        <f t="shared" si="14"/>
        <v>2413.1650479999689</v>
      </c>
      <c r="H250" s="43">
        <f t="shared" si="15"/>
        <v>54.628736322833944</v>
      </c>
      <c r="I250" s="42"/>
    </row>
    <row r="251" spans="1:9" ht="12.75" customHeight="1">
      <c r="A251" s="43">
        <v>50</v>
      </c>
      <c r="B251" s="43">
        <v>4</v>
      </c>
      <c r="C251" s="43">
        <v>400</v>
      </c>
      <c r="D251" s="43">
        <v>215.5</v>
      </c>
      <c r="E251" s="43">
        <f t="shared" si="12"/>
        <v>13.572356850393527</v>
      </c>
      <c r="F251" s="43">
        <f t="shared" si="13"/>
        <v>10.16</v>
      </c>
      <c r="G251" s="43">
        <f t="shared" si="14"/>
        <v>2757.9029119999645</v>
      </c>
      <c r="H251" s="43">
        <f t="shared" si="15"/>
        <v>58.496858025196097</v>
      </c>
      <c r="I251" s="42"/>
    </row>
    <row r="252" spans="1:9" ht="12.75" customHeight="1">
      <c r="A252" s="43">
        <v>50</v>
      </c>
      <c r="B252" s="43">
        <v>4</v>
      </c>
      <c r="C252" s="43">
        <v>450</v>
      </c>
      <c r="D252" s="43">
        <v>229.75</v>
      </c>
      <c r="E252" s="43">
        <f t="shared" si="12"/>
        <v>13.572356850393527</v>
      </c>
      <c r="F252" s="43">
        <f t="shared" si="13"/>
        <v>10.16</v>
      </c>
      <c r="G252" s="43">
        <f t="shared" si="14"/>
        <v>3102.6407759999602</v>
      </c>
      <c r="H252" s="43">
        <f t="shared" si="15"/>
        <v>62.364979727558257</v>
      </c>
      <c r="I252" s="42"/>
    </row>
    <row r="253" spans="1:9" ht="12.75" customHeight="1">
      <c r="A253" s="43">
        <v>50</v>
      </c>
      <c r="B253" s="43">
        <v>4</v>
      </c>
      <c r="C253" s="43">
        <v>500</v>
      </c>
      <c r="D253" s="43">
        <v>244</v>
      </c>
      <c r="E253" s="43">
        <f t="shared" si="12"/>
        <v>13.572356850393527</v>
      </c>
      <c r="F253" s="43">
        <f t="shared" si="13"/>
        <v>10.16</v>
      </c>
      <c r="G253" s="43">
        <f t="shared" si="14"/>
        <v>3447.3786399999558</v>
      </c>
      <c r="H253" s="43">
        <f t="shared" si="15"/>
        <v>66.23310142992041</v>
      </c>
      <c r="I253" s="42"/>
    </row>
    <row r="254" spans="1:9" ht="12.75" customHeight="1">
      <c r="A254" s="43">
        <v>50</v>
      </c>
      <c r="B254" s="43">
        <v>4</v>
      </c>
      <c r="C254" s="43">
        <v>550</v>
      </c>
      <c r="D254" s="43">
        <v>256.7</v>
      </c>
      <c r="E254" s="43">
        <f t="shared" si="12"/>
        <v>13.572356850393527</v>
      </c>
      <c r="F254" s="43">
        <f t="shared" si="13"/>
        <v>10.16</v>
      </c>
      <c r="G254" s="43">
        <f t="shared" si="14"/>
        <v>3792.1165039999514</v>
      </c>
      <c r="H254" s="43">
        <f t="shared" si="15"/>
        <v>69.680480069920364</v>
      </c>
      <c r="I254" s="42"/>
    </row>
    <row r="255" spans="1:9" ht="12.75" customHeight="1">
      <c r="A255" s="43">
        <v>50</v>
      </c>
      <c r="B255" s="43">
        <v>4</v>
      </c>
      <c r="C255" s="43">
        <v>600</v>
      </c>
      <c r="D255" s="43">
        <v>269.39999999999998</v>
      </c>
      <c r="E255" s="43">
        <f t="shared" si="12"/>
        <v>13.572356850393527</v>
      </c>
      <c r="F255" s="43">
        <f t="shared" si="13"/>
        <v>10.16</v>
      </c>
      <c r="G255" s="43">
        <f t="shared" si="14"/>
        <v>4136.8543679999475</v>
      </c>
      <c r="H255" s="43">
        <f t="shared" si="15"/>
        <v>73.127858709920318</v>
      </c>
      <c r="I255" s="42"/>
    </row>
    <row r="256" spans="1:9" ht="12.75" customHeight="1">
      <c r="A256" s="43">
        <v>50</v>
      </c>
      <c r="B256" s="43">
        <v>4</v>
      </c>
      <c r="C256" s="43">
        <v>650</v>
      </c>
      <c r="D256" s="43">
        <v>282.09999999999997</v>
      </c>
      <c r="E256" s="43">
        <f t="shared" si="12"/>
        <v>13.572356850393527</v>
      </c>
      <c r="F256" s="43">
        <f t="shared" si="13"/>
        <v>10.16</v>
      </c>
      <c r="G256" s="43">
        <f t="shared" si="14"/>
        <v>4481.5922319999427</v>
      </c>
      <c r="H256" s="43">
        <f t="shared" si="15"/>
        <v>76.575237349920272</v>
      </c>
      <c r="I256" s="42"/>
    </row>
    <row r="257" spans="1:9" ht="12.75" customHeight="1">
      <c r="A257" s="43">
        <v>50</v>
      </c>
      <c r="B257" s="43">
        <v>4</v>
      </c>
      <c r="C257" s="43">
        <v>700</v>
      </c>
      <c r="D257" s="43">
        <v>294.79999999999995</v>
      </c>
      <c r="E257" s="43">
        <f t="shared" si="12"/>
        <v>13.572356850393527</v>
      </c>
      <c r="F257" s="43">
        <f t="shared" si="13"/>
        <v>10.16</v>
      </c>
      <c r="G257" s="43">
        <f t="shared" si="14"/>
        <v>4826.3300959999378</v>
      </c>
      <c r="H257" s="43">
        <f t="shared" si="15"/>
        <v>80.022615989920226</v>
      </c>
      <c r="I257" s="42"/>
    </row>
    <row r="258" spans="1:9" ht="12.75" customHeight="1">
      <c r="A258" s="43">
        <v>50</v>
      </c>
      <c r="B258" s="43">
        <v>4</v>
      </c>
      <c r="C258" s="43">
        <v>750</v>
      </c>
      <c r="D258" s="43">
        <v>307.49999999999994</v>
      </c>
      <c r="E258" s="43">
        <f t="shared" si="12"/>
        <v>13.572356850393527</v>
      </c>
      <c r="F258" s="43">
        <f t="shared" si="13"/>
        <v>10.16</v>
      </c>
      <c r="G258" s="43">
        <f t="shared" si="14"/>
        <v>5171.0679599999339</v>
      </c>
      <c r="H258" s="43">
        <f t="shared" si="15"/>
        <v>83.469994629920166</v>
      </c>
      <c r="I258" s="42"/>
    </row>
    <row r="259" spans="1:9" ht="12.75" customHeight="1">
      <c r="A259" s="43">
        <v>50</v>
      </c>
      <c r="B259" s="43">
        <v>4</v>
      </c>
      <c r="C259" s="43">
        <v>800</v>
      </c>
      <c r="D259" s="43">
        <v>320.19999999999993</v>
      </c>
      <c r="E259" s="43">
        <f t="shared" ref="E259:E322" si="16">A259/145.03773800722/0.0254</f>
        <v>13.572356850393527</v>
      </c>
      <c r="F259" s="43">
        <f t="shared" ref="F259:F322" si="17">B259*2.54</f>
        <v>10.16</v>
      </c>
      <c r="G259" s="43">
        <f t="shared" ref="G259:G322" si="18">C259/0.14503773800722</f>
        <v>5515.8058239999291</v>
      </c>
      <c r="H259" s="43">
        <f t="shared" ref="H259:H322" si="19">D259/145.03773800722/0.0254</f>
        <v>86.91737326992012</v>
      </c>
      <c r="I259" s="42"/>
    </row>
    <row r="260" spans="1:9" ht="12.75" customHeight="1">
      <c r="A260" s="43">
        <v>50</v>
      </c>
      <c r="B260" s="43">
        <v>4</v>
      </c>
      <c r="C260" s="43">
        <v>850</v>
      </c>
      <c r="D260" s="43">
        <v>332.89999999999992</v>
      </c>
      <c r="E260" s="43">
        <f t="shared" si="16"/>
        <v>13.572356850393527</v>
      </c>
      <c r="F260" s="43">
        <f t="shared" si="17"/>
        <v>10.16</v>
      </c>
      <c r="G260" s="43">
        <f t="shared" si="18"/>
        <v>5860.5436879999252</v>
      </c>
      <c r="H260" s="43">
        <f t="shared" si="19"/>
        <v>90.364751909920088</v>
      </c>
      <c r="I260" s="42"/>
    </row>
    <row r="261" spans="1:9" ht="12.75" customHeight="1">
      <c r="A261" s="43">
        <v>50</v>
      </c>
      <c r="B261" s="43">
        <v>4</v>
      </c>
      <c r="C261" s="43">
        <v>900</v>
      </c>
      <c r="D261" s="43">
        <v>345.59999999999991</v>
      </c>
      <c r="E261" s="43">
        <f t="shared" si="16"/>
        <v>13.572356850393527</v>
      </c>
      <c r="F261" s="43">
        <f t="shared" si="17"/>
        <v>10.16</v>
      </c>
      <c r="G261" s="43">
        <f t="shared" si="18"/>
        <v>6205.2815519999203</v>
      </c>
      <c r="H261" s="43">
        <f t="shared" si="19"/>
        <v>93.812130549920028</v>
      </c>
      <c r="I261" s="42"/>
    </row>
    <row r="262" spans="1:9" ht="12.75" customHeight="1">
      <c r="A262" s="43">
        <v>50</v>
      </c>
      <c r="B262" s="43">
        <v>4</v>
      </c>
      <c r="C262" s="43">
        <v>950</v>
      </c>
      <c r="D262" s="43">
        <v>358.2999999999999</v>
      </c>
      <c r="E262" s="43">
        <f t="shared" si="16"/>
        <v>13.572356850393527</v>
      </c>
      <c r="F262" s="43">
        <f t="shared" si="17"/>
        <v>10.16</v>
      </c>
      <c r="G262" s="43">
        <f t="shared" si="18"/>
        <v>6550.0194159999164</v>
      </c>
      <c r="H262" s="43">
        <f t="shared" si="19"/>
        <v>97.259509189919982</v>
      </c>
      <c r="I262" s="42"/>
    </row>
    <row r="263" spans="1:9" ht="12.75" customHeight="1">
      <c r="A263" s="43">
        <v>50</v>
      </c>
      <c r="B263" s="43">
        <v>4</v>
      </c>
      <c r="C263" s="43">
        <v>1000</v>
      </c>
      <c r="D263" s="43">
        <v>371</v>
      </c>
      <c r="E263" s="43">
        <f t="shared" si="16"/>
        <v>13.572356850393527</v>
      </c>
      <c r="F263" s="43">
        <f t="shared" si="17"/>
        <v>10.16</v>
      </c>
      <c r="G263" s="43">
        <f t="shared" si="18"/>
        <v>6894.7572799999116</v>
      </c>
      <c r="H263" s="43">
        <f t="shared" si="19"/>
        <v>100.70688782991996</v>
      </c>
      <c r="I263" s="42"/>
    </row>
    <row r="264" spans="1:9" ht="12.75" customHeight="1">
      <c r="A264" s="43">
        <v>50</v>
      </c>
      <c r="B264" s="43">
        <v>4</v>
      </c>
      <c r="C264" s="43">
        <v>1100</v>
      </c>
      <c r="D264" s="43">
        <v>393.1</v>
      </c>
      <c r="E264" s="43">
        <f t="shared" si="16"/>
        <v>13.572356850393527</v>
      </c>
      <c r="F264" s="43">
        <f t="shared" si="17"/>
        <v>10.16</v>
      </c>
      <c r="G264" s="43">
        <f t="shared" si="18"/>
        <v>7584.2330079999028</v>
      </c>
      <c r="H264" s="43">
        <f t="shared" si="19"/>
        <v>106.7058695577939</v>
      </c>
      <c r="I264" s="42"/>
    </row>
    <row r="265" spans="1:9" ht="12.75" customHeight="1">
      <c r="A265" s="43">
        <v>50</v>
      </c>
      <c r="B265" s="43">
        <v>4</v>
      </c>
      <c r="C265" s="43">
        <v>1200</v>
      </c>
      <c r="D265" s="43">
        <v>415.20000000000005</v>
      </c>
      <c r="E265" s="43">
        <f t="shared" si="16"/>
        <v>13.572356850393527</v>
      </c>
      <c r="F265" s="43">
        <f t="shared" si="17"/>
        <v>10.16</v>
      </c>
      <c r="G265" s="43">
        <f t="shared" si="18"/>
        <v>8273.708735999895</v>
      </c>
      <c r="H265" s="43">
        <f t="shared" si="19"/>
        <v>112.70485128566784</v>
      </c>
      <c r="I265" s="42"/>
    </row>
    <row r="266" spans="1:9" ht="12.75" customHeight="1">
      <c r="A266" s="43">
        <v>50</v>
      </c>
      <c r="B266" s="43">
        <v>4</v>
      </c>
      <c r="C266" s="43">
        <v>1300</v>
      </c>
      <c r="D266" s="43">
        <v>437.30000000000007</v>
      </c>
      <c r="E266" s="43">
        <f t="shared" si="16"/>
        <v>13.572356850393527</v>
      </c>
      <c r="F266" s="43">
        <f t="shared" si="17"/>
        <v>10.16</v>
      </c>
      <c r="G266" s="43">
        <f t="shared" si="18"/>
        <v>8963.1844639998853</v>
      </c>
      <c r="H266" s="43">
        <f t="shared" si="19"/>
        <v>118.7038330135418</v>
      </c>
      <c r="I266" s="42"/>
    </row>
    <row r="267" spans="1:9" ht="12.75" customHeight="1">
      <c r="A267" s="43">
        <v>50</v>
      </c>
      <c r="B267" s="43">
        <v>4</v>
      </c>
      <c r="C267" s="43">
        <v>1400</v>
      </c>
      <c r="D267" s="43">
        <v>459.40000000000009</v>
      </c>
      <c r="E267" s="43">
        <f t="shared" si="16"/>
        <v>13.572356850393527</v>
      </c>
      <c r="F267" s="43">
        <f t="shared" si="17"/>
        <v>10.16</v>
      </c>
      <c r="G267" s="43">
        <f t="shared" si="18"/>
        <v>9652.6601919998757</v>
      </c>
      <c r="H267" s="43">
        <f t="shared" si="19"/>
        <v>124.70281474141574</v>
      </c>
      <c r="I267" s="42"/>
    </row>
    <row r="268" spans="1:9" ht="12.75" customHeight="1">
      <c r="A268" s="43">
        <v>50</v>
      </c>
      <c r="B268" s="43">
        <v>4</v>
      </c>
      <c r="C268" s="43">
        <v>1500</v>
      </c>
      <c r="D268" s="43">
        <v>481.50000000000011</v>
      </c>
      <c r="E268" s="43">
        <f t="shared" si="16"/>
        <v>13.572356850393527</v>
      </c>
      <c r="F268" s="43">
        <f t="shared" si="17"/>
        <v>10.16</v>
      </c>
      <c r="G268" s="43">
        <f t="shared" si="18"/>
        <v>10342.135919999868</v>
      </c>
      <c r="H268" s="43">
        <f t="shared" si="19"/>
        <v>130.70179646928969</v>
      </c>
      <c r="I268" s="42"/>
    </row>
    <row r="269" spans="1:9" ht="12.75" customHeight="1">
      <c r="A269" s="43">
        <v>50</v>
      </c>
      <c r="B269" s="43">
        <v>4</v>
      </c>
      <c r="C269" s="43">
        <v>1600</v>
      </c>
      <c r="D269" s="43">
        <v>503.60000000000014</v>
      </c>
      <c r="E269" s="43">
        <f t="shared" si="16"/>
        <v>13.572356850393527</v>
      </c>
      <c r="F269" s="43">
        <f t="shared" si="17"/>
        <v>10.16</v>
      </c>
      <c r="G269" s="43">
        <f t="shared" si="18"/>
        <v>11031.611647999858</v>
      </c>
      <c r="H269" s="43">
        <f t="shared" si="19"/>
        <v>136.70077819716363</v>
      </c>
      <c r="I269" s="42"/>
    </row>
    <row r="270" spans="1:9" ht="12.75" customHeight="1">
      <c r="A270" s="43">
        <v>50</v>
      </c>
      <c r="B270" s="43">
        <v>4</v>
      </c>
      <c r="C270" s="43">
        <v>1700</v>
      </c>
      <c r="D270" s="43">
        <v>525.70000000000016</v>
      </c>
      <c r="E270" s="43">
        <f t="shared" si="16"/>
        <v>13.572356850393527</v>
      </c>
      <c r="F270" s="43">
        <f t="shared" si="17"/>
        <v>10.16</v>
      </c>
      <c r="G270" s="43">
        <f t="shared" si="18"/>
        <v>11721.08737599985</v>
      </c>
      <c r="H270" s="43">
        <f t="shared" si="19"/>
        <v>142.69975992503757</v>
      </c>
      <c r="I270" s="42"/>
    </row>
    <row r="271" spans="1:9" ht="12.75" customHeight="1">
      <c r="A271" s="43">
        <v>50</v>
      </c>
      <c r="B271" s="43">
        <v>4</v>
      </c>
      <c r="C271" s="43">
        <v>1800</v>
      </c>
      <c r="D271" s="43">
        <v>547.80000000000018</v>
      </c>
      <c r="E271" s="43">
        <f t="shared" si="16"/>
        <v>13.572356850393527</v>
      </c>
      <c r="F271" s="43">
        <f t="shared" si="17"/>
        <v>10.16</v>
      </c>
      <c r="G271" s="43">
        <f t="shared" si="18"/>
        <v>12410.563103999841</v>
      </c>
      <c r="H271" s="43">
        <f t="shared" si="19"/>
        <v>148.69874165291151</v>
      </c>
      <c r="I271" s="42"/>
    </row>
    <row r="272" spans="1:9" ht="12.75" customHeight="1">
      <c r="A272" s="43">
        <v>50</v>
      </c>
      <c r="B272" s="43">
        <v>4</v>
      </c>
      <c r="C272" s="43">
        <v>1900</v>
      </c>
      <c r="D272" s="43">
        <v>569.9000000000002</v>
      </c>
      <c r="E272" s="43">
        <f t="shared" si="16"/>
        <v>13.572356850393527</v>
      </c>
      <c r="F272" s="43">
        <f t="shared" si="17"/>
        <v>10.16</v>
      </c>
      <c r="G272" s="43">
        <f t="shared" si="18"/>
        <v>13100.038831999833</v>
      </c>
      <c r="H272" s="43">
        <f t="shared" si="19"/>
        <v>154.69772338078548</v>
      </c>
      <c r="I272" s="42"/>
    </row>
    <row r="273" spans="1:9" ht="12.75" customHeight="1">
      <c r="A273" s="43">
        <v>50</v>
      </c>
      <c r="B273" s="43">
        <v>4</v>
      </c>
      <c r="C273" s="43">
        <v>2000</v>
      </c>
      <c r="D273" s="43">
        <v>592</v>
      </c>
      <c r="E273" s="43">
        <f t="shared" si="16"/>
        <v>13.572356850393527</v>
      </c>
      <c r="F273" s="43">
        <f t="shared" si="17"/>
        <v>10.16</v>
      </c>
      <c r="G273" s="43">
        <f t="shared" si="18"/>
        <v>13789.514559999823</v>
      </c>
      <c r="H273" s="43">
        <f t="shared" si="19"/>
        <v>160.69670510865936</v>
      </c>
      <c r="I273" s="42"/>
    </row>
    <row r="274" spans="1:9" ht="12.75" customHeight="1">
      <c r="A274" s="43">
        <v>50</v>
      </c>
      <c r="B274" s="43">
        <v>5</v>
      </c>
      <c r="C274" s="43">
        <v>50</v>
      </c>
      <c r="D274" s="43">
        <v>122</v>
      </c>
      <c r="E274" s="43">
        <f t="shared" si="16"/>
        <v>13.572356850393527</v>
      </c>
      <c r="F274" s="43">
        <f t="shared" si="17"/>
        <v>12.7</v>
      </c>
      <c r="G274" s="43">
        <f t="shared" si="18"/>
        <v>344.73786399999557</v>
      </c>
      <c r="H274" s="43">
        <f t="shared" si="19"/>
        <v>33.116550714960205</v>
      </c>
      <c r="I274" s="42"/>
    </row>
    <row r="275" spans="1:9" ht="12.75" customHeight="1">
      <c r="A275" s="43">
        <v>50</v>
      </c>
      <c r="B275" s="43">
        <v>5</v>
      </c>
      <c r="C275" s="43">
        <v>60</v>
      </c>
      <c r="D275" s="43">
        <v>127.8</v>
      </c>
      <c r="E275" s="43">
        <f t="shared" si="16"/>
        <v>13.572356850393527</v>
      </c>
      <c r="F275" s="43">
        <f t="shared" si="17"/>
        <v>12.7</v>
      </c>
      <c r="G275" s="43">
        <f t="shared" si="18"/>
        <v>413.6854367999947</v>
      </c>
      <c r="H275" s="43">
        <f t="shared" si="19"/>
        <v>34.690944109605852</v>
      </c>
      <c r="I275" s="42"/>
    </row>
    <row r="276" spans="1:9" ht="12.75" customHeight="1">
      <c r="A276" s="43">
        <v>50</v>
      </c>
      <c r="B276" s="43">
        <v>5</v>
      </c>
      <c r="C276" s="43">
        <v>70</v>
      </c>
      <c r="D276" s="43">
        <v>133.6</v>
      </c>
      <c r="E276" s="43">
        <f t="shared" si="16"/>
        <v>13.572356850393527</v>
      </c>
      <c r="F276" s="43">
        <f t="shared" si="17"/>
        <v>12.7</v>
      </c>
      <c r="G276" s="43">
        <f t="shared" si="18"/>
        <v>482.63300959999384</v>
      </c>
      <c r="H276" s="43">
        <f t="shared" si="19"/>
        <v>36.265337504251498</v>
      </c>
      <c r="I276" s="42"/>
    </row>
    <row r="277" spans="1:9" ht="12.75" customHeight="1">
      <c r="A277" s="43">
        <v>50</v>
      </c>
      <c r="B277" s="43">
        <v>5</v>
      </c>
      <c r="C277" s="43">
        <v>80</v>
      </c>
      <c r="D277" s="43">
        <v>139.4</v>
      </c>
      <c r="E277" s="43">
        <f t="shared" si="16"/>
        <v>13.572356850393527</v>
      </c>
      <c r="F277" s="43">
        <f t="shared" si="17"/>
        <v>12.7</v>
      </c>
      <c r="G277" s="43">
        <f t="shared" si="18"/>
        <v>551.58058239999298</v>
      </c>
      <c r="H277" s="43">
        <f t="shared" si="19"/>
        <v>37.839730898897152</v>
      </c>
      <c r="I277" s="42"/>
    </row>
    <row r="278" spans="1:9" ht="12.75" customHeight="1">
      <c r="A278" s="43">
        <v>50</v>
      </c>
      <c r="B278" s="43">
        <v>5</v>
      </c>
      <c r="C278" s="43">
        <v>90</v>
      </c>
      <c r="D278" s="43">
        <v>145.20000000000002</v>
      </c>
      <c r="E278" s="43">
        <f t="shared" si="16"/>
        <v>13.572356850393527</v>
      </c>
      <c r="F278" s="43">
        <f t="shared" si="17"/>
        <v>12.7</v>
      </c>
      <c r="G278" s="43">
        <f t="shared" si="18"/>
        <v>620.52815519999206</v>
      </c>
      <c r="H278" s="43">
        <f t="shared" si="19"/>
        <v>39.414124293542805</v>
      </c>
      <c r="I278" s="42"/>
    </row>
    <row r="279" spans="1:9" ht="12.75" customHeight="1">
      <c r="A279" s="43">
        <v>50</v>
      </c>
      <c r="B279" s="43">
        <v>5</v>
      </c>
      <c r="C279" s="43">
        <v>100</v>
      </c>
      <c r="D279" s="43">
        <v>151</v>
      </c>
      <c r="E279" s="43">
        <f t="shared" si="16"/>
        <v>13.572356850393527</v>
      </c>
      <c r="F279" s="43">
        <f t="shared" si="17"/>
        <v>12.7</v>
      </c>
      <c r="G279" s="43">
        <f t="shared" si="18"/>
        <v>689.47572799999114</v>
      </c>
      <c r="H279" s="43">
        <f t="shared" si="19"/>
        <v>40.988517688188452</v>
      </c>
      <c r="I279" s="42"/>
    </row>
    <row r="280" spans="1:9" ht="12.75" customHeight="1">
      <c r="A280" s="43">
        <v>50</v>
      </c>
      <c r="B280" s="43">
        <v>5</v>
      </c>
      <c r="C280" s="43">
        <v>150</v>
      </c>
      <c r="D280" s="43">
        <v>175.75</v>
      </c>
      <c r="E280" s="43">
        <f t="shared" si="16"/>
        <v>13.572356850393527</v>
      </c>
      <c r="F280" s="43">
        <f t="shared" si="17"/>
        <v>12.7</v>
      </c>
      <c r="G280" s="43">
        <f t="shared" si="18"/>
        <v>1034.2135919999869</v>
      </c>
      <c r="H280" s="43">
        <f t="shared" si="19"/>
        <v>47.706834329133251</v>
      </c>
      <c r="I280" s="42"/>
    </row>
    <row r="281" spans="1:9" ht="12.75" customHeight="1">
      <c r="A281" s="43">
        <v>50</v>
      </c>
      <c r="B281" s="43">
        <v>5</v>
      </c>
      <c r="C281" s="43">
        <v>200</v>
      </c>
      <c r="D281" s="43">
        <v>200.5</v>
      </c>
      <c r="E281" s="43">
        <f t="shared" si="16"/>
        <v>13.572356850393527</v>
      </c>
      <c r="F281" s="43">
        <f t="shared" si="17"/>
        <v>12.7</v>
      </c>
      <c r="G281" s="43">
        <f t="shared" si="18"/>
        <v>1378.9514559999823</v>
      </c>
      <c r="H281" s="43">
        <f t="shared" si="19"/>
        <v>54.425150970078043</v>
      </c>
      <c r="I281" s="42"/>
    </row>
    <row r="282" spans="1:9" ht="12.75" customHeight="1">
      <c r="A282" s="43">
        <v>50</v>
      </c>
      <c r="B282" s="43">
        <v>5</v>
      </c>
      <c r="C282" s="43">
        <v>250</v>
      </c>
      <c r="D282" s="43">
        <v>225.25</v>
      </c>
      <c r="E282" s="43">
        <f t="shared" si="16"/>
        <v>13.572356850393527</v>
      </c>
      <c r="F282" s="43">
        <f t="shared" si="17"/>
        <v>12.7</v>
      </c>
      <c r="G282" s="43">
        <f t="shared" si="18"/>
        <v>1723.6893199999779</v>
      </c>
      <c r="H282" s="43">
        <f t="shared" si="19"/>
        <v>61.143467611022842</v>
      </c>
      <c r="I282" s="42"/>
    </row>
    <row r="283" spans="1:9" ht="12.75" customHeight="1">
      <c r="A283" s="43">
        <v>50</v>
      </c>
      <c r="B283" s="43">
        <v>5</v>
      </c>
      <c r="C283" s="43">
        <v>300</v>
      </c>
      <c r="D283" s="43">
        <v>250</v>
      </c>
      <c r="E283" s="43">
        <f t="shared" si="16"/>
        <v>13.572356850393527</v>
      </c>
      <c r="F283" s="43">
        <f t="shared" si="17"/>
        <v>12.7</v>
      </c>
      <c r="G283" s="43">
        <f t="shared" si="18"/>
        <v>2068.4271839999737</v>
      </c>
      <c r="H283" s="43">
        <f t="shared" si="19"/>
        <v>67.861784251967634</v>
      </c>
      <c r="I283" s="42"/>
    </row>
    <row r="284" spans="1:9" ht="12.75" customHeight="1">
      <c r="A284" s="43">
        <v>50</v>
      </c>
      <c r="B284" s="43">
        <v>5</v>
      </c>
      <c r="C284" s="43">
        <v>350</v>
      </c>
      <c r="D284" s="43">
        <v>268.75</v>
      </c>
      <c r="E284" s="43">
        <f t="shared" si="16"/>
        <v>13.572356850393527</v>
      </c>
      <c r="F284" s="43">
        <f t="shared" si="17"/>
        <v>12.7</v>
      </c>
      <c r="G284" s="43">
        <f t="shared" si="18"/>
        <v>2413.1650479999689</v>
      </c>
      <c r="H284" s="43">
        <f t="shared" si="19"/>
        <v>72.951418070865202</v>
      </c>
      <c r="I284" s="42"/>
    </row>
    <row r="285" spans="1:9" ht="12.75" customHeight="1">
      <c r="A285" s="43">
        <v>50</v>
      </c>
      <c r="B285" s="43">
        <v>5</v>
      </c>
      <c r="C285" s="43">
        <v>400</v>
      </c>
      <c r="D285" s="43">
        <v>287.5</v>
      </c>
      <c r="E285" s="43">
        <f t="shared" si="16"/>
        <v>13.572356850393527</v>
      </c>
      <c r="F285" s="43">
        <f t="shared" si="17"/>
        <v>12.7</v>
      </c>
      <c r="G285" s="43">
        <f t="shared" si="18"/>
        <v>2757.9029119999645</v>
      </c>
      <c r="H285" s="43">
        <f t="shared" si="19"/>
        <v>78.04105188976277</v>
      </c>
      <c r="I285" s="42"/>
    </row>
    <row r="286" spans="1:9" ht="12.75" customHeight="1">
      <c r="A286" s="43">
        <v>50</v>
      </c>
      <c r="B286" s="43">
        <v>5</v>
      </c>
      <c r="C286" s="43">
        <v>450</v>
      </c>
      <c r="D286" s="43">
        <v>306.25</v>
      </c>
      <c r="E286" s="43">
        <f t="shared" si="16"/>
        <v>13.572356850393527</v>
      </c>
      <c r="F286" s="43">
        <f t="shared" si="17"/>
        <v>12.7</v>
      </c>
      <c r="G286" s="43">
        <f t="shared" si="18"/>
        <v>3102.6407759999602</v>
      </c>
      <c r="H286" s="43">
        <f t="shared" si="19"/>
        <v>83.130685708660351</v>
      </c>
      <c r="I286" s="42"/>
    </row>
    <row r="287" spans="1:9" ht="12.75" customHeight="1">
      <c r="A287" s="43">
        <v>50</v>
      </c>
      <c r="B287" s="43">
        <v>5</v>
      </c>
      <c r="C287" s="43">
        <v>500</v>
      </c>
      <c r="D287" s="43">
        <v>325</v>
      </c>
      <c r="E287" s="43">
        <f t="shared" si="16"/>
        <v>13.572356850393527</v>
      </c>
      <c r="F287" s="43">
        <f t="shared" si="17"/>
        <v>12.7</v>
      </c>
      <c r="G287" s="43">
        <f t="shared" si="18"/>
        <v>3447.3786399999558</v>
      </c>
      <c r="H287" s="43">
        <f t="shared" si="19"/>
        <v>88.220319527557919</v>
      </c>
      <c r="I287" s="42"/>
    </row>
    <row r="288" spans="1:9" ht="12.75" customHeight="1">
      <c r="A288" s="43">
        <v>50</v>
      </c>
      <c r="B288" s="43">
        <v>5</v>
      </c>
      <c r="C288" s="43">
        <v>550</v>
      </c>
      <c r="D288" s="43">
        <v>346.8</v>
      </c>
      <c r="E288" s="43">
        <f t="shared" si="16"/>
        <v>13.572356850393527</v>
      </c>
      <c r="F288" s="43">
        <f t="shared" si="17"/>
        <v>12.7</v>
      </c>
      <c r="G288" s="43">
        <f t="shared" si="18"/>
        <v>3792.1165039999514</v>
      </c>
      <c r="H288" s="43">
        <f t="shared" si="19"/>
        <v>94.137867114329509</v>
      </c>
      <c r="I288" s="42"/>
    </row>
    <row r="289" spans="1:9" ht="12.75" customHeight="1">
      <c r="A289" s="43">
        <v>50</v>
      </c>
      <c r="B289" s="43">
        <v>5</v>
      </c>
      <c r="C289" s="43">
        <v>600</v>
      </c>
      <c r="D289" s="43">
        <v>368.6</v>
      </c>
      <c r="E289" s="43">
        <f t="shared" si="16"/>
        <v>13.572356850393527</v>
      </c>
      <c r="F289" s="43">
        <f t="shared" si="17"/>
        <v>12.7</v>
      </c>
      <c r="G289" s="43">
        <f t="shared" si="18"/>
        <v>4136.8543679999475</v>
      </c>
      <c r="H289" s="43">
        <f t="shared" si="19"/>
        <v>100.05541470110109</v>
      </c>
      <c r="I289" s="42"/>
    </row>
    <row r="290" spans="1:9" ht="12.75" customHeight="1">
      <c r="A290" s="43">
        <v>50</v>
      </c>
      <c r="B290" s="43">
        <v>5</v>
      </c>
      <c r="C290" s="43">
        <v>650</v>
      </c>
      <c r="D290" s="43">
        <v>390.40000000000003</v>
      </c>
      <c r="E290" s="43">
        <f t="shared" si="16"/>
        <v>13.572356850393527</v>
      </c>
      <c r="F290" s="43">
        <f t="shared" si="17"/>
        <v>12.7</v>
      </c>
      <c r="G290" s="43">
        <f t="shared" si="18"/>
        <v>4481.5922319999427</v>
      </c>
      <c r="H290" s="43">
        <f t="shared" si="19"/>
        <v>105.97296228787266</v>
      </c>
      <c r="I290" s="42"/>
    </row>
    <row r="291" spans="1:9" ht="12.75" customHeight="1">
      <c r="A291" s="43">
        <v>50</v>
      </c>
      <c r="B291" s="43">
        <v>5</v>
      </c>
      <c r="C291" s="43">
        <v>700</v>
      </c>
      <c r="D291" s="43">
        <v>412.20000000000005</v>
      </c>
      <c r="E291" s="43">
        <f t="shared" si="16"/>
        <v>13.572356850393527</v>
      </c>
      <c r="F291" s="43">
        <f t="shared" si="17"/>
        <v>12.7</v>
      </c>
      <c r="G291" s="43">
        <f t="shared" si="18"/>
        <v>4826.3300959999378</v>
      </c>
      <c r="H291" s="43">
        <f t="shared" si="19"/>
        <v>111.89050987464424</v>
      </c>
      <c r="I291" s="42"/>
    </row>
    <row r="292" spans="1:9" ht="12.75" customHeight="1">
      <c r="A292" s="43">
        <v>50</v>
      </c>
      <c r="B292" s="43">
        <v>5</v>
      </c>
      <c r="C292" s="43">
        <v>750</v>
      </c>
      <c r="D292" s="43">
        <v>434.00000000000006</v>
      </c>
      <c r="E292" s="43">
        <f t="shared" si="16"/>
        <v>13.572356850393527</v>
      </c>
      <c r="F292" s="43">
        <f t="shared" si="17"/>
        <v>12.7</v>
      </c>
      <c r="G292" s="43">
        <f t="shared" si="18"/>
        <v>5171.0679599999339</v>
      </c>
      <c r="H292" s="43">
        <f t="shared" si="19"/>
        <v>117.80805746141583</v>
      </c>
      <c r="I292" s="42"/>
    </row>
    <row r="293" spans="1:9" ht="12.75" customHeight="1">
      <c r="A293" s="43">
        <v>50</v>
      </c>
      <c r="B293" s="43">
        <v>5</v>
      </c>
      <c r="C293" s="43">
        <v>800</v>
      </c>
      <c r="D293" s="43">
        <v>455.80000000000007</v>
      </c>
      <c r="E293" s="43">
        <f t="shared" si="16"/>
        <v>13.572356850393527</v>
      </c>
      <c r="F293" s="43">
        <f t="shared" si="17"/>
        <v>12.7</v>
      </c>
      <c r="G293" s="43">
        <f t="shared" si="18"/>
        <v>5515.8058239999291</v>
      </c>
      <c r="H293" s="43">
        <f t="shared" si="19"/>
        <v>123.7256050481874</v>
      </c>
      <c r="I293" s="42"/>
    </row>
    <row r="294" spans="1:9" ht="12.75" customHeight="1">
      <c r="A294" s="43">
        <v>50</v>
      </c>
      <c r="B294" s="43">
        <v>5</v>
      </c>
      <c r="C294" s="43">
        <v>850</v>
      </c>
      <c r="D294" s="43">
        <v>477.60000000000008</v>
      </c>
      <c r="E294" s="43">
        <f t="shared" si="16"/>
        <v>13.572356850393527</v>
      </c>
      <c r="F294" s="43">
        <f t="shared" si="17"/>
        <v>12.7</v>
      </c>
      <c r="G294" s="43">
        <f t="shared" si="18"/>
        <v>5860.5436879999252</v>
      </c>
      <c r="H294" s="43">
        <f t="shared" si="19"/>
        <v>129.64315263495899</v>
      </c>
      <c r="I294" s="42"/>
    </row>
    <row r="295" spans="1:9" ht="12.75" customHeight="1">
      <c r="A295" s="43">
        <v>50</v>
      </c>
      <c r="B295" s="43">
        <v>5</v>
      </c>
      <c r="C295" s="43">
        <v>900</v>
      </c>
      <c r="D295" s="43">
        <v>499.40000000000009</v>
      </c>
      <c r="E295" s="43">
        <f t="shared" si="16"/>
        <v>13.572356850393527</v>
      </c>
      <c r="F295" s="43">
        <f t="shared" si="17"/>
        <v>12.7</v>
      </c>
      <c r="G295" s="43">
        <f t="shared" si="18"/>
        <v>6205.2815519999203</v>
      </c>
      <c r="H295" s="43">
        <f t="shared" si="19"/>
        <v>135.56070022173057</v>
      </c>
      <c r="I295" s="42"/>
    </row>
    <row r="296" spans="1:9" ht="12.75" customHeight="1">
      <c r="A296" s="43">
        <v>50</v>
      </c>
      <c r="B296" s="43">
        <v>5</v>
      </c>
      <c r="C296" s="43">
        <v>950</v>
      </c>
      <c r="D296" s="43">
        <v>521.20000000000005</v>
      </c>
      <c r="E296" s="43">
        <f t="shared" si="16"/>
        <v>13.572356850393527</v>
      </c>
      <c r="F296" s="43">
        <f t="shared" si="17"/>
        <v>12.7</v>
      </c>
      <c r="G296" s="43">
        <f t="shared" si="18"/>
        <v>6550.0194159999164</v>
      </c>
      <c r="H296" s="43">
        <f t="shared" si="19"/>
        <v>141.47824780850212</v>
      </c>
      <c r="I296" s="42"/>
    </row>
    <row r="297" spans="1:9" ht="12.75" customHeight="1">
      <c r="A297" s="43">
        <v>50</v>
      </c>
      <c r="B297" s="43">
        <v>5</v>
      </c>
      <c r="C297" s="43">
        <v>1000</v>
      </c>
      <c r="D297" s="43">
        <v>543</v>
      </c>
      <c r="E297" s="43">
        <f t="shared" si="16"/>
        <v>13.572356850393527</v>
      </c>
      <c r="F297" s="43">
        <f t="shared" si="17"/>
        <v>12.7</v>
      </c>
      <c r="G297" s="43">
        <f t="shared" si="18"/>
        <v>6894.7572799999116</v>
      </c>
      <c r="H297" s="43">
        <f t="shared" si="19"/>
        <v>147.39579539527369</v>
      </c>
      <c r="I297" s="42"/>
    </row>
    <row r="298" spans="1:9" ht="12.75" customHeight="1">
      <c r="A298" s="43">
        <v>50</v>
      </c>
      <c r="B298" s="43">
        <v>5</v>
      </c>
      <c r="C298" s="43">
        <v>1100</v>
      </c>
      <c r="D298" s="43">
        <v>578.70000000000005</v>
      </c>
      <c r="E298" s="43">
        <f t="shared" si="16"/>
        <v>13.572356850393527</v>
      </c>
      <c r="F298" s="43">
        <f t="shared" si="17"/>
        <v>12.7</v>
      </c>
      <c r="G298" s="43">
        <f t="shared" si="18"/>
        <v>7584.2330079999028</v>
      </c>
      <c r="H298" s="43">
        <f t="shared" si="19"/>
        <v>157.08645818645468</v>
      </c>
      <c r="I298" s="42"/>
    </row>
    <row r="299" spans="1:9" ht="12.75" customHeight="1">
      <c r="A299" s="43">
        <v>50</v>
      </c>
      <c r="B299" s="43">
        <v>5</v>
      </c>
      <c r="C299" s="43">
        <v>1200</v>
      </c>
      <c r="D299" s="43">
        <v>614.40000000000009</v>
      </c>
      <c r="E299" s="43">
        <f t="shared" si="16"/>
        <v>13.572356850393527</v>
      </c>
      <c r="F299" s="43">
        <f t="shared" si="17"/>
        <v>12.7</v>
      </c>
      <c r="G299" s="43">
        <f t="shared" si="18"/>
        <v>8273.708735999895</v>
      </c>
      <c r="H299" s="43">
        <f t="shared" si="19"/>
        <v>166.77712097763566</v>
      </c>
      <c r="I299" s="42"/>
    </row>
    <row r="300" spans="1:9" ht="12.75" customHeight="1">
      <c r="A300" s="43">
        <v>50</v>
      </c>
      <c r="B300" s="43">
        <v>5</v>
      </c>
      <c r="C300" s="43">
        <v>1300</v>
      </c>
      <c r="D300" s="43">
        <v>650.10000000000014</v>
      </c>
      <c r="E300" s="43">
        <f t="shared" si="16"/>
        <v>13.572356850393527</v>
      </c>
      <c r="F300" s="43">
        <f t="shared" si="17"/>
        <v>12.7</v>
      </c>
      <c r="G300" s="43">
        <f t="shared" si="18"/>
        <v>8963.1844639998853</v>
      </c>
      <c r="H300" s="43">
        <f t="shared" si="19"/>
        <v>176.46778376881667</v>
      </c>
      <c r="I300" s="42"/>
    </row>
    <row r="301" spans="1:9" ht="12.75" customHeight="1">
      <c r="A301" s="43">
        <v>50</v>
      </c>
      <c r="B301" s="43">
        <v>5</v>
      </c>
      <c r="C301" s="43">
        <v>1400</v>
      </c>
      <c r="D301" s="43">
        <v>685.80000000000018</v>
      </c>
      <c r="E301" s="43">
        <f t="shared" si="16"/>
        <v>13.572356850393527</v>
      </c>
      <c r="F301" s="43">
        <f t="shared" si="17"/>
        <v>12.7</v>
      </c>
      <c r="G301" s="43">
        <f t="shared" si="18"/>
        <v>9652.6601919998757</v>
      </c>
      <c r="H301" s="43">
        <f t="shared" si="19"/>
        <v>186.15844655999766</v>
      </c>
      <c r="I301" s="42"/>
    </row>
    <row r="302" spans="1:9" ht="12.75" customHeight="1">
      <c r="A302" s="43">
        <v>50</v>
      </c>
      <c r="B302" s="43">
        <v>5</v>
      </c>
      <c r="C302" s="43">
        <v>1500</v>
      </c>
      <c r="D302" s="43">
        <v>721.50000000000023</v>
      </c>
      <c r="E302" s="43">
        <f t="shared" si="16"/>
        <v>13.572356850393527</v>
      </c>
      <c r="F302" s="43">
        <f t="shared" si="17"/>
        <v>12.7</v>
      </c>
      <c r="G302" s="43">
        <f t="shared" si="18"/>
        <v>10342.135919999868</v>
      </c>
      <c r="H302" s="43">
        <f t="shared" si="19"/>
        <v>195.84910935117864</v>
      </c>
      <c r="I302" s="42"/>
    </row>
    <row r="303" spans="1:9" ht="12.75" customHeight="1">
      <c r="A303" s="43">
        <v>50</v>
      </c>
      <c r="B303" s="43">
        <v>5</v>
      </c>
      <c r="C303" s="43">
        <v>1600</v>
      </c>
      <c r="D303" s="43">
        <v>757.20000000000027</v>
      </c>
      <c r="E303" s="43">
        <f t="shared" si="16"/>
        <v>13.572356850393527</v>
      </c>
      <c r="F303" s="43">
        <f t="shared" si="17"/>
        <v>12.7</v>
      </c>
      <c r="G303" s="43">
        <f t="shared" si="18"/>
        <v>11031.611647999858</v>
      </c>
      <c r="H303" s="43">
        <f t="shared" si="19"/>
        <v>205.53977214235965</v>
      </c>
      <c r="I303" s="42"/>
    </row>
    <row r="304" spans="1:9" ht="12.75" customHeight="1">
      <c r="A304" s="43">
        <v>50</v>
      </c>
      <c r="B304" s="43">
        <v>5</v>
      </c>
      <c r="C304" s="43">
        <v>1700</v>
      </c>
      <c r="D304" s="43">
        <v>792.90000000000032</v>
      </c>
      <c r="E304" s="43">
        <f t="shared" si="16"/>
        <v>13.572356850393527</v>
      </c>
      <c r="F304" s="43">
        <f t="shared" si="17"/>
        <v>12.7</v>
      </c>
      <c r="G304" s="43">
        <f t="shared" si="18"/>
        <v>11721.08737599985</v>
      </c>
      <c r="H304" s="43">
        <f t="shared" si="19"/>
        <v>215.23043493354064</v>
      </c>
      <c r="I304" s="42"/>
    </row>
    <row r="305" spans="1:9" ht="12.75" customHeight="1">
      <c r="A305" s="43">
        <v>50</v>
      </c>
      <c r="B305" s="43">
        <v>5</v>
      </c>
      <c r="C305" s="43">
        <v>1800</v>
      </c>
      <c r="D305" s="43">
        <v>828.60000000000036</v>
      </c>
      <c r="E305" s="43">
        <f t="shared" si="16"/>
        <v>13.572356850393527</v>
      </c>
      <c r="F305" s="43">
        <f t="shared" si="17"/>
        <v>12.7</v>
      </c>
      <c r="G305" s="43">
        <f t="shared" si="18"/>
        <v>12410.563103999841</v>
      </c>
      <c r="H305" s="43">
        <f t="shared" si="19"/>
        <v>224.92109772472162</v>
      </c>
      <c r="I305" s="42"/>
    </row>
    <row r="306" spans="1:9" ht="12.75" customHeight="1">
      <c r="A306" s="43">
        <v>50</v>
      </c>
      <c r="B306" s="43">
        <v>5</v>
      </c>
      <c r="C306" s="43">
        <v>1900</v>
      </c>
      <c r="D306" s="43">
        <v>864.30000000000041</v>
      </c>
      <c r="E306" s="43">
        <f t="shared" si="16"/>
        <v>13.572356850393527</v>
      </c>
      <c r="F306" s="43">
        <f t="shared" si="17"/>
        <v>12.7</v>
      </c>
      <c r="G306" s="43">
        <f t="shared" si="18"/>
        <v>13100.038831999833</v>
      </c>
      <c r="H306" s="43">
        <f t="shared" si="19"/>
        <v>234.6117605159026</v>
      </c>
      <c r="I306" s="42"/>
    </row>
    <row r="307" spans="1:9" ht="12.75" customHeight="1">
      <c r="A307" s="43">
        <v>50</v>
      </c>
      <c r="B307" s="43">
        <v>5</v>
      </c>
      <c r="C307" s="43">
        <v>2000</v>
      </c>
      <c r="D307" s="43">
        <v>900</v>
      </c>
      <c r="E307" s="43">
        <f t="shared" si="16"/>
        <v>13.572356850393527</v>
      </c>
      <c r="F307" s="43">
        <f t="shared" si="17"/>
        <v>12.7</v>
      </c>
      <c r="G307" s="43">
        <f t="shared" si="18"/>
        <v>13789.514559999823</v>
      </c>
      <c r="H307" s="43">
        <f t="shared" si="19"/>
        <v>244.30242330708347</v>
      </c>
      <c r="I307" s="42"/>
    </row>
    <row r="308" spans="1:9" ht="12.75" customHeight="1">
      <c r="A308" s="43">
        <v>50</v>
      </c>
      <c r="B308" s="43">
        <v>6</v>
      </c>
      <c r="C308" s="43">
        <v>50</v>
      </c>
      <c r="D308" s="43">
        <v>140</v>
      </c>
      <c r="E308" s="43">
        <f t="shared" si="16"/>
        <v>13.572356850393527</v>
      </c>
      <c r="F308" s="43">
        <f t="shared" si="17"/>
        <v>15.24</v>
      </c>
      <c r="G308" s="43">
        <f t="shared" si="18"/>
        <v>344.73786399999557</v>
      </c>
      <c r="H308" s="43">
        <f t="shared" si="19"/>
        <v>38.002599181101871</v>
      </c>
      <c r="I308" s="42"/>
    </row>
    <row r="309" spans="1:9" ht="12.75" customHeight="1">
      <c r="A309" s="43">
        <v>50</v>
      </c>
      <c r="B309" s="43">
        <v>6</v>
      </c>
      <c r="C309" s="43">
        <v>60</v>
      </c>
      <c r="D309" s="43">
        <v>148.4</v>
      </c>
      <c r="E309" s="43">
        <f t="shared" si="16"/>
        <v>13.572356850393527</v>
      </c>
      <c r="F309" s="43">
        <f t="shared" si="17"/>
        <v>15.24</v>
      </c>
      <c r="G309" s="43">
        <f t="shared" si="18"/>
        <v>413.6854367999947</v>
      </c>
      <c r="H309" s="43">
        <f t="shared" si="19"/>
        <v>40.282755131967988</v>
      </c>
      <c r="I309" s="42"/>
    </row>
    <row r="310" spans="1:9" ht="12.75" customHeight="1">
      <c r="A310" s="43">
        <v>50</v>
      </c>
      <c r="B310" s="43">
        <v>6</v>
      </c>
      <c r="C310" s="43">
        <v>70</v>
      </c>
      <c r="D310" s="43">
        <v>156.80000000000001</v>
      </c>
      <c r="E310" s="43">
        <f t="shared" si="16"/>
        <v>13.572356850393527</v>
      </c>
      <c r="F310" s="43">
        <f t="shared" si="17"/>
        <v>15.24</v>
      </c>
      <c r="G310" s="43">
        <f t="shared" si="18"/>
        <v>482.63300959999384</v>
      </c>
      <c r="H310" s="43">
        <f t="shared" si="19"/>
        <v>42.562911082834098</v>
      </c>
      <c r="I310" s="42"/>
    </row>
    <row r="311" spans="1:9" ht="12.75" customHeight="1">
      <c r="A311" s="43">
        <v>50</v>
      </c>
      <c r="B311" s="43">
        <v>6</v>
      </c>
      <c r="C311" s="43">
        <v>80</v>
      </c>
      <c r="D311" s="43">
        <v>165.20000000000002</v>
      </c>
      <c r="E311" s="43">
        <f t="shared" si="16"/>
        <v>13.572356850393527</v>
      </c>
      <c r="F311" s="43">
        <f t="shared" si="17"/>
        <v>15.24</v>
      </c>
      <c r="G311" s="43">
        <f t="shared" si="18"/>
        <v>551.58058239999298</v>
      </c>
      <c r="H311" s="43">
        <f t="shared" si="19"/>
        <v>44.843067033700216</v>
      </c>
      <c r="I311" s="42"/>
    </row>
    <row r="312" spans="1:9" ht="12.75" customHeight="1">
      <c r="A312" s="43">
        <v>50</v>
      </c>
      <c r="B312" s="43">
        <v>6</v>
      </c>
      <c r="C312" s="43">
        <v>90</v>
      </c>
      <c r="D312" s="43">
        <v>173.60000000000002</v>
      </c>
      <c r="E312" s="43">
        <f t="shared" si="16"/>
        <v>13.572356850393527</v>
      </c>
      <c r="F312" s="43">
        <f t="shared" si="17"/>
        <v>15.24</v>
      </c>
      <c r="G312" s="43">
        <f t="shared" si="18"/>
        <v>620.52815519999206</v>
      </c>
      <c r="H312" s="43">
        <f t="shared" si="19"/>
        <v>47.123222984566333</v>
      </c>
      <c r="I312" s="42"/>
    </row>
    <row r="313" spans="1:9" ht="12.75" customHeight="1">
      <c r="A313" s="43">
        <v>50</v>
      </c>
      <c r="B313" s="43">
        <v>6</v>
      </c>
      <c r="C313" s="43">
        <v>100</v>
      </c>
      <c r="D313" s="43">
        <v>182</v>
      </c>
      <c r="E313" s="43">
        <f t="shared" si="16"/>
        <v>13.572356850393527</v>
      </c>
      <c r="F313" s="43">
        <f t="shared" si="17"/>
        <v>15.24</v>
      </c>
      <c r="G313" s="43">
        <f t="shared" si="18"/>
        <v>689.47572799999114</v>
      </c>
      <c r="H313" s="43">
        <f t="shared" si="19"/>
        <v>49.403378935432436</v>
      </c>
      <c r="I313" s="42"/>
    </row>
    <row r="314" spans="1:9" ht="12.75" customHeight="1">
      <c r="A314" s="43">
        <v>50</v>
      </c>
      <c r="B314" s="43">
        <v>6</v>
      </c>
      <c r="C314" s="43">
        <v>150</v>
      </c>
      <c r="D314" s="43">
        <v>217.75</v>
      </c>
      <c r="E314" s="43">
        <f t="shared" si="16"/>
        <v>13.572356850393527</v>
      </c>
      <c r="F314" s="43">
        <f t="shared" si="17"/>
        <v>15.24</v>
      </c>
      <c r="G314" s="43">
        <f t="shared" si="18"/>
        <v>1034.2135919999869</v>
      </c>
      <c r="H314" s="43">
        <f t="shared" si="19"/>
        <v>59.107614083463808</v>
      </c>
      <c r="I314" s="42"/>
    </row>
    <row r="315" spans="1:9" ht="12.75" customHeight="1">
      <c r="A315" s="43">
        <v>50</v>
      </c>
      <c r="B315" s="43">
        <v>6</v>
      </c>
      <c r="C315" s="43">
        <v>200</v>
      </c>
      <c r="D315" s="43">
        <v>253.5</v>
      </c>
      <c r="E315" s="43">
        <f t="shared" si="16"/>
        <v>13.572356850393527</v>
      </c>
      <c r="F315" s="43">
        <f t="shared" si="17"/>
        <v>15.24</v>
      </c>
      <c r="G315" s="43">
        <f t="shared" si="18"/>
        <v>1378.9514559999823</v>
      </c>
      <c r="H315" s="43">
        <f t="shared" si="19"/>
        <v>68.811849231495174</v>
      </c>
      <c r="I315" s="42"/>
    </row>
    <row r="316" spans="1:9" ht="12.75" customHeight="1">
      <c r="A316" s="43">
        <v>50</v>
      </c>
      <c r="B316" s="43">
        <v>6</v>
      </c>
      <c r="C316" s="43">
        <v>250</v>
      </c>
      <c r="D316" s="43">
        <v>289.25</v>
      </c>
      <c r="E316" s="43">
        <f t="shared" si="16"/>
        <v>13.572356850393527</v>
      </c>
      <c r="F316" s="43">
        <f t="shared" si="17"/>
        <v>15.24</v>
      </c>
      <c r="G316" s="43">
        <f t="shared" si="18"/>
        <v>1723.6893199999779</v>
      </c>
      <c r="H316" s="43">
        <f t="shared" si="19"/>
        <v>78.516084379526546</v>
      </c>
      <c r="I316" s="42"/>
    </row>
    <row r="317" spans="1:9" ht="12.75" customHeight="1">
      <c r="A317" s="43">
        <v>50</v>
      </c>
      <c r="B317" s="43">
        <v>6</v>
      </c>
      <c r="C317" s="43">
        <v>300</v>
      </c>
      <c r="D317" s="43">
        <v>325</v>
      </c>
      <c r="E317" s="43">
        <f t="shared" si="16"/>
        <v>13.572356850393527</v>
      </c>
      <c r="F317" s="43">
        <f t="shared" si="17"/>
        <v>15.24</v>
      </c>
      <c r="G317" s="43">
        <f t="shared" si="18"/>
        <v>2068.4271839999737</v>
      </c>
      <c r="H317" s="43">
        <f t="shared" si="19"/>
        <v>88.220319527557919</v>
      </c>
      <c r="I317" s="42"/>
    </row>
    <row r="318" spans="1:9" ht="12.75" customHeight="1">
      <c r="A318" s="43">
        <v>50</v>
      </c>
      <c r="B318" s="43">
        <v>6</v>
      </c>
      <c r="C318" s="43">
        <v>350</v>
      </c>
      <c r="D318" s="43">
        <v>358</v>
      </c>
      <c r="E318" s="43">
        <f t="shared" si="16"/>
        <v>13.572356850393527</v>
      </c>
      <c r="F318" s="43">
        <f t="shared" si="17"/>
        <v>15.24</v>
      </c>
      <c r="G318" s="43">
        <f t="shared" si="18"/>
        <v>2413.1650479999689</v>
      </c>
      <c r="H318" s="43">
        <f t="shared" si="19"/>
        <v>97.178075048817647</v>
      </c>
      <c r="I318" s="42"/>
    </row>
    <row r="319" spans="1:9" ht="12.75" customHeight="1">
      <c r="A319" s="43">
        <v>50</v>
      </c>
      <c r="B319" s="43">
        <v>6</v>
      </c>
      <c r="C319" s="43">
        <v>400</v>
      </c>
      <c r="D319" s="43">
        <v>391</v>
      </c>
      <c r="E319" s="43">
        <f t="shared" si="16"/>
        <v>13.572356850393527</v>
      </c>
      <c r="F319" s="43">
        <f t="shared" si="17"/>
        <v>15.24</v>
      </c>
      <c r="G319" s="43">
        <f t="shared" si="18"/>
        <v>2757.9029119999645</v>
      </c>
      <c r="H319" s="43">
        <f t="shared" si="19"/>
        <v>106.13583057007739</v>
      </c>
      <c r="I319" s="42"/>
    </row>
    <row r="320" spans="1:9" ht="12.75" customHeight="1">
      <c r="A320" s="43">
        <v>50</v>
      </c>
      <c r="B320" s="43">
        <v>6</v>
      </c>
      <c r="C320" s="43">
        <v>450</v>
      </c>
      <c r="D320" s="43">
        <v>424</v>
      </c>
      <c r="E320" s="43">
        <f t="shared" si="16"/>
        <v>13.572356850393527</v>
      </c>
      <c r="F320" s="43">
        <f t="shared" si="17"/>
        <v>15.24</v>
      </c>
      <c r="G320" s="43">
        <f t="shared" si="18"/>
        <v>3102.6407759999602</v>
      </c>
      <c r="H320" s="43">
        <f t="shared" si="19"/>
        <v>115.0935860913371</v>
      </c>
      <c r="I320" s="42"/>
    </row>
    <row r="321" spans="1:9" ht="12.75" customHeight="1">
      <c r="A321" s="43">
        <v>50</v>
      </c>
      <c r="B321" s="43">
        <v>6</v>
      </c>
      <c r="C321" s="43">
        <v>500</v>
      </c>
      <c r="D321" s="43">
        <v>457</v>
      </c>
      <c r="E321" s="43">
        <f t="shared" si="16"/>
        <v>13.572356850393527</v>
      </c>
      <c r="F321" s="43">
        <f t="shared" si="17"/>
        <v>15.24</v>
      </c>
      <c r="G321" s="43">
        <f t="shared" si="18"/>
        <v>3447.3786399999558</v>
      </c>
      <c r="H321" s="43">
        <f t="shared" si="19"/>
        <v>124.05134161259683</v>
      </c>
      <c r="I321" s="42"/>
    </row>
    <row r="322" spans="1:9" ht="12.75" customHeight="1">
      <c r="A322" s="43">
        <v>50</v>
      </c>
      <c r="B322" s="43">
        <v>6</v>
      </c>
      <c r="C322" s="43">
        <v>550</v>
      </c>
      <c r="D322" s="43">
        <v>487.7</v>
      </c>
      <c r="E322" s="43">
        <f t="shared" si="16"/>
        <v>13.572356850393527</v>
      </c>
      <c r="F322" s="43">
        <f t="shared" si="17"/>
        <v>15.24</v>
      </c>
      <c r="G322" s="43">
        <f t="shared" si="18"/>
        <v>3792.1165039999514</v>
      </c>
      <c r="H322" s="43">
        <f t="shared" si="19"/>
        <v>132.38476871873846</v>
      </c>
      <c r="I322" s="42"/>
    </row>
    <row r="323" spans="1:9" ht="12.75" customHeight="1">
      <c r="A323" s="43">
        <v>50</v>
      </c>
      <c r="B323" s="43">
        <v>6</v>
      </c>
      <c r="C323" s="43">
        <v>600</v>
      </c>
      <c r="D323" s="43">
        <v>518.4</v>
      </c>
      <c r="E323" s="43">
        <f t="shared" ref="E323:E386" si="20">A323/145.03773800722/0.0254</f>
        <v>13.572356850393527</v>
      </c>
      <c r="F323" s="43">
        <f t="shared" ref="F323:F386" si="21">B323*2.54</f>
        <v>15.24</v>
      </c>
      <c r="G323" s="43">
        <f t="shared" ref="G323:G386" si="22">C323/0.14503773800722</f>
        <v>4136.8543679999475</v>
      </c>
      <c r="H323" s="43">
        <f t="shared" ref="H323:H386" si="23">D323/145.03773800722/0.0254</f>
        <v>140.71819582488007</v>
      </c>
      <c r="I323" s="42"/>
    </row>
    <row r="324" spans="1:9" ht="12.75" customHeight="1">
      <c r="A324" s="43">
        <v>50</v>
      </c>
      <c r="B324" s="43">
        <v>6</v>
      </c>
      <c r="C324" s="43">
        <v>650</v>
      </c>
      <c r="D324" s="43">
        <v>549.1</v>
      </c>
      <c r="E324" s="43">
        <f t="shared" si="20"/>
        <v>13.572356850393527</v>
      </c>
      <c r="F324" s="43">
        <f t="shared" si="21"/>
        <v>15.24</v>
      </c>
      <c r="G324" s="43">
        <f t="shared" si="22"/>
        <v>4481.5922319999427</v>
      </c>
      <c r="H324" s="43">
        <f t="shared" si="23"/>
        <v>149.05162293102171</v>
      </c>
      <c r="I324" s="42"/>
    </row>
    <row r="325" spans="1:9" ht="12.75" customHeight="1">
      <c r="A325" s="43">
        <v>50</v>
      </c>
      <c r="B325" s="43">
        <v>6</v>
      </c>
      <c r="C325" s="43">
        <v>700</v>
      </c>
      <c r="D325" s="43">
        <v>579.80000000000007</v>
      </c>
      <c r="E325" s="43">
        <f t="shared" si="20"/>
        <v>13.572356850393527</v>
      </c>
      <c r="F325" s="43">
        <f t="shared" si="21"/>
        <v>15.24</v>
      </c>
      <c r="G325" s="43">
        <f t="shared" si="22"/>
        <v>4826.3300959999378</v>
      </c>
      <c r="H325" s="43">
        <f t="shared" si="23"/>
        <v>157.38505003716335</v>
      </c>
      <c r="I325" s="42"/>
    </row>
    <row r="326" spans="1:9" ht="12.75" customHeight="1">
      <c r="A326" s="43">
        <v>50</v>
      </c>
      <c r="B326" s="43">
        <v>6</v>
      </c>
      <c r="C326" s="43">
        <v>750</v>
      </c>
      <c r="D326" s="43">
        <v>610.50000000000011</v>
      </c>
      <c r="E326" s="43">
        <f t="shared" si="20"/>
        <v>13.572356850393527</v>
      </c>
      <c r="F326" s="43">
        <f t="shared" si="21"/>
        <v>15.24</v>
      </c>
      <c r="G326" s="43">
        <f t="shared" si="22"/>
        <v>5171.0679599999339</v>
      </c>
      <c r="H326" s="43">
        <f t="shared" si="23"/>
        <v>165.71847714330497</v>
      </c>
      <c r="I326" s="42"/>
    </row>
    <row r="327" spans="1:9" ht="12.75" customHeight="1">
      <c r="A327" s="43">
        <v>50</v>
      </c>
      <c r="B327" s="43">
        <v>6</v>
      </c>
      <c r="C327" s="43">
        <v>800</v>
      </c>
      <c r="D327" s="43">
        <v>641.20000000000016</v>
      </c>
      <c r="E327" s="43">
        <f t="shared" si="20"/>
        <v>13.572356850393527</v>
      </c>
      <c r="F327" s="43">
        <f t="shared" si="21"/>
        <v>15.24</v>
      </c>
      <c r="G327" s="43">
        <f t="shared" si="22"/>
        <v>5515.8058239999291</v>
      </c>
      <c r="H327" s="43">
        <f t="shared" si="23"/>
        <v>174.05190424944664</v>
      </c>
      <c r="I327" s="42"/>
    </row>
    <row r="328" spans="1:9" ht="12.75" customHeight="1">
      <c r="A328" s="43">
        <v>50</v>
      </c>
      <c r="B328" s="43">
        <v>6</v>
      </c>
      <c r="C328" s="43">
        <v>850</v>
      </c>
      <c r="D328" s="43">
        <v>671.9000000000002</v>
      </c>
      <c r="E328" s="43">
        <f t="shared" si="20"/>
        <v>13.572356850393527</v>
      </c>
      <c r="F328" s="43">
        <f t="shared" si="21"/>
        <v>15.24</v>
      </c>
      <c r="G328" s="43">
        <f t="shared" si="22"/>
        <v>5860.5436879999252</v>
      </c>
      <c r="H328" s="43">
        <f t="shared" si="23"/>
        <v>182.38533135558825</v>
      </c>
      <c r="I328" s="42"/>
    </row>
    <row r="329" spans="1:9" ht="12.75" customHeight="1">
      <c r="A329" s="43">
        <v>50</v>
      </c>
      <c r="B329" s="43">
        <v>6</v>
      </c>
      <c r="C329" s="43">
        <v>900</v>
      </c>
      <c r="D329" s="43">
        <v>702.60000000000025</v>
      </c>
      <c r="E329" s="43">
        <f t="shared" si="20"/>
        <v>13.572356850393527</v>
      </c>
      <c r="F329" s="43">
        <f t="shared" si="21"/>
        <v>15.24</v>
      </c>
      <c r="G329" s="43">
        <f t="shared" si="22"/>
        <v>6205.2815519999203</v>
      </c>
      <c r="H329" s="43">
        <f t="shared" si="23"/>
        <v>190.71875846172989</v>
      </c>
      <c r="I329" s="42"/>
    </row>
    <row r="330" spans="1:9" ht="12.75" customHeight="1">
      <c r="A330" s="43">
        <v>50</v>
      </c>
      <c r="B330" s="43">
        <v>6</v>
      </c>
      <c r="C330" s="43">
        <v>950</v>
      </c>
      <c r="D330" s="43">
        <v>733.3000000000003</v>
      </c>
      <c r="E330" s="43">
        <f t="shared" si="20"/>
        <v>13.572356850393527</v>
      </c>
      <c r="F330" s="43">
        <f t="shared" si="21"/>
        <v>15.24</v>
      </c>
      <c r="G330" s="43">
        <f t="shared" si="22"/>
        <v>6550.0194159999164</v>
      </c>
      <c r="H330" s="43">
        <f t="shared" si="23"/>
        <v>199.05218556787153</v>
      </c>
      <c r="I330" s="42"/>
    </row>
    <row r="331" spans="1:9" ht="12.75" customHeight="1">
      <c r="A331" s="43">
        <v>50</v>
      </c>
      <c r="B331" s="43">
        <v>6</v>
      </c>
      <c r="C331" s="43">
        <v>1000</v>
      </c>
      <c r="D331" s="43">
        <v>764</v>
      </c>
      <c r="E331" s="43">
        <f t="shared" si="20"/>
        <v>13.572356850393527</v>
      </c>
      <c r="F331" s="43">
        <f t="shared" si="21"/>
        <v>15.24</v>
      </c>
      <c r="G331" s="43">
        <f t="shared" si="22"/>
        <v>6894.7572799999116</v>
      </c>
      <c r="H331" s="43">
        <f t="shared" si="23"/>
        <v>207.38561267401306</v>
      </c>
      <c r="I331" s="42"/>
    </row>
    <row r="332" spans="1:9" ht="12.75" customHeight="1">
      <c r="A332" s="43">
        <v>50</v>
      </c>
      <c r="B332" s="43">
        <v>6</v>
      </c>
      <c r="C332" s="43">
        <v>1100</v>
      </c>
      <c r="D332" s="43">
        <v>817.3</v>
      </c>
      <c r="E332" s="43">
        <f t="shared" si="20"/>
        <v>13.572356850393527</v>
      </c>
      <c r="F332" s="43">
        <f t="shared" si="21"/>
        <v>15.24</v>
      </c>
      <c r="G332" s="43">
        <f t="shared" si="22"/>
        <v>7584.2330079999028</v>
      </c>
      <c r="H332" s="43">
        <f t="shared" si="23"/>
        <v>221.85374507653259</v>
      </c>
      <c r="I332" s="42"/>
    </row>
    <row r="333" spans="1:9" ht="12.75" customHeight="1">
      <c r="A333" s="43">
        <v>50</v>
      </c>
      <c r="B333" s="43">
        <v>6</v>
      </c>
      <c r="C333" s="43">
        <v>1200</v>
      </c>
      <c r="D333" s="43">
        <v>870.59999999999991</v>
      </c>
      <c r="E333" s="43">
        <f t="shared" si="20"/>
        <v>13.572356850393527</v>
      </c>
      <c r="F333" s="43">
        <f t="shared" si="21"/>
        <v>15.24</v>
      </c>
      <c r="G333" s="43">
        <f t="shared" si="22"/>
        <v>8273.708735999895</v>
      </c>
      <c r="H333" s="43">
        <f t="shared" si="23"/>
        <v>236.32187747905206</v>
      </c>
      <c r="I333" s="42"/>
    </row>
    <row r="334" spans="1:9" ht="12.75" customHeight="1">
      <c r="A334" s="43">
        <v>50</v>
      </c>
      <c r="B334" s="43">
        <v>6</v>
      </c>
      <c r="C334" s="43">
        <v>1300</v>
      </c>
      <c r="D334" s="43">
        <v>923.89999999999986</v>
      </c>
      <c r="E334" s="43">
        <f t="shared" si="20"/>
        <v>13.572356850393527</v>
      </c>
      <c r="F334" s="43">
        <f t="shared" si="21"/>
        <v>15.24</v>
      </c>
      <c r="G334" s="43">
        <f t="shared" si="22"/>
        <v>8963.1844639998853</v>
      </c>
      <c r="H334" s="43">
        <f t="shared" si="23"/>
        <v>250.79000988157154</v>
      </c>
      <c r="I334" s="42"/>
    </row>
    <row r="335" spans="1:9" ht="12.75" customHeight="1">
      <c r="A335" s="43">
        <v>50</v>
      </c>
      <c r="B335" s="43">
        <v>6</v>
      </c>
      <c r="C335" s="43">
        <v>1400</v>
      </c>
      <c r="D335" s="43">
        <v>977.19999999999982</v>
      </c>
      <c r="E335" s="43">
        <f t="shared" si="20"/>
        <v>13.572356850393527</v>
      </c>
      <c r="F335" s="43">
        <f t="shared" si="21"/>
        <v>15.24</v>
      </c>
      <c r="G335" s="43">
        <f t="shared" si="22"/>
        <v>9652.6601919998757</v>
      </c>
      <c r="H335" s="43">
        <f t="shared" si="23"/>
        <v>265.25814228409104</v>
      </c>
      <c r="I335" s="42"/>
    </row>
    <row r="336" spans="1:9" ht="12.75" customHeight="1">
      <c r="A336" s="43">
        <v>50</v>
      </c>
      <c r="B336" s="43">
        <v>6</v>
      </c>
      <c r="C336" s="43">
        <v>1500</v>
      </c>
      <c r="D336" s="43">
        <v>1030.4999999999998</v>
      </c>
      <c r="E336" s="43">
        <f t="shared" si="20"/>
        <v>13.572356850393527</v>
      </c>
      <c r="F336" s="43">
        <f t="shared" si="21"/>
        <v>15.24</v>
      </c>
      <c r="G336" s="43">
        <f t="shared" si="22"/>
        <v>10342.135919999868</v>
      </c>
      <c r="H336" s="43">
        <f t="shared" si="23"/>
        <v>279.72627468661051</v>
      </c>
      <c r="I336" s="42"/>
    </row>
    <row r="337" spans="1:9" ht="12.75" customHeight="1">
      <c r="A337" s="43">
        <v>50</v>
      </c>
      <c r="B337" s="43">
        <v>6</v>
      </c>
      <c r="C337" s="43">
        <v>1600</v>
      </c>
      <c r="D337" s="43">
        <v>1083.7999999999997</v>
      </c>
      <c r="E337" s="43">
        <f t="shared" si="20"/>
        <v>13.572356850393527</v>
      </c>
      <c r="F337" s="43">
        <f t="shared" si="21"/>
        <v>15.24</v>
      </c>
      <c r="G337" s="43">
        <f t="shared" si="22"/>
        <v>11031.611647999858</v>
      </c>
      <c r="H337" s="43">
        <f t="shared" si="23"/>
        <v>294.19440708913004</v>
      </c>
      <c r="I337" s="42"/>
    </row>
    <row r="338" spans="1:9" ht="12.75" customHeight="1">
      <c r="A338" s="43">
        <v>50</v>
      </c>
      <c r="B338" s="43">
        <v>6</v>
      </c>
      <c r="C338" s="43">
        <v>1700</v>
      </c>
      <c r="D338" s="43">
        <v>1137.0999999999997</v>
      </c>
      <c r="E338" s="43">
        <f t="shared" si="20"/>
        <v>13.572356850393527</v>
      </c>
      <c r="F338" s="43">
        <f t="shared" si="21"/>
        <v>15.24</v>
      </c>
      <c r="G338" s="43">
        <f t="shared" si="22"/>
        <v>11721.08737599985</v>
      </c>
      <c r="H338" s="43">
        <f t="shared" si="23"/>
        <v>308.66253949164951</v>
      </c>
      <c r="I338" s="42"/>
    </row>
    <row r="339" spans="1:9" ht="12.75" customHeight="1">
      <c r="A339" s="43">
        <v>50</v>
      </c>
      <c r="B339" s="43">
        <v>6</v>
      </c>
      <c r="C339" s="43">
        <v>1800</v>
      </c>
      <c r="D339" s="43">
        <v>1190.3999999999996</v>
      </c>
      <c r="E339" s="43">
        <f t="shared" si="20"/>
        <v>13.572356850393527</v>
      </c>
      <c r="F339" s="43">
        <f t="shared" si="21"/>
        <v>15.24</v>
      </c>
      <c r="G339" s="43">
        <f t="shared" si="22"/>
        <v>12410.563103999841</v>
      </c>
      <c r="H339" s="43">
        <f t="shared" si="23"/>
        <v>323.13067189416898</v>
      </c>
      <c r="I339" s="42"/>
    </row>
    <row r="340" spans="1:9" ht="12.75" customHeight="1">
      <c r="A340" s="43">
        <v>50</v>
      </c>
      <c r="B340" s="43">
        <v>6</v>
      </c>
      <c r="C340" s="43">
        <v>1900</v>
      </c>
      <c r="D340" s="43">
        <v>1243.6999999999996</v>
      </c>
      <c r="E340" s="43">
        <f t="shared" si="20"/>
        <v>13.572356850393527</v>
      </c>
      <c r="F340" s="43">
        <f t="shared" si="21"/>
        <v>15.24</v>
      </c>
      <c r="G340" s="43">
        <f t="shared" si="22"/>
        <v>13100.038831999833</v>
      </c>
      <c r="H340" s="43">
        <f t="shared" si="23"/>
        <v>337.59880429668846</v>
      </c>
      <c r="I340" s="42"/>
    </row>
    <row r="341" spans="1:9" ht="12.75" customHeight="1">
      <c r="A341" s="43">
        <v>50</v>
      </c>
      <c r="B341" s="43">
        <v>6</v>
      </c>
      <c r="C341" s="43">
        <v>2000</v>
      </c>
      <c r="D341" s="43">
        <v>1297</v>
      </c>
      <c r="E341" s="43">
        <f t="shared" si="20"/>
        <v>13.572356850393527</v>
      </c>
      <c r="F341" s="43">
        <f t="shared" si="21"/>
        <v>15.24</v>
      </c>
      <c r="G341" s="43">
        <f t="shared" si="22"/>
        <v>13789.514559999823</v>
      </c>
      <c r="H341" s="43">
        <f t="shared" si="23"/>
        <v>352.0669366992081</v>
      </c>
      <c r="I341" s="42"/>
    </row>
    <row r="342" spans="1:9" ht="12.75" customHeight="1">
      <c r="A342" s="43">
        <v>100</v>
      </c>
      <c r="B342" s="43">
        <v>2</v>
      </c>
      <c r="C342" s="43">
        <v>50</v>
      </c>
      <c r="D342" s="43">
        <v>131</v>
      </c>
      <c r="E342" s="43">
        <f t="shared" si="20"/>
        <v>27.144713700787054</v>
      </c>
      <c r="F342" s="43">
        <f t="shared" si="21"/>
        <v>5.08</v>
      </c>
      <c r="G342" s="43">
        <f t="shared" si="22"/>
        <v>344.73786399999557</v>
      </c>
      <c r="H342" s="43">
        <f t="shared" si="23"/>
        <v>35.559574948031042</v>
      </c>
      <c r="I342" s="42"/>
    </row>
    <row r="343" spans="1:9" ht="12.75" customHeight="1">
      <c r="A343" s="43">
        <v>100</v>
      </c>
      <c r="B343" s="43">
        <v>2</v>
      </c>
      <c r="C343" s="43">
        <v>60</v>
      </c>
      <c r="D343" s="43">
        <v>132.6</v>
      </c>
      <c r="E343" s="43">
        <f t="shared" si="20"/>
        <v>27.144713700787054</v>
      </c>
      <c r="F343" s="43">
        <f t="shared" si="21"/>
        <v>5.08</v>
      </c>
      <c r="G343" s="43">
        <f t="shared" si="22"/>
        <v>413.6854367999947</v>
      </c>
      <c r="H343" s="43">
        <f t="shared" si="23"/>
        <v>35.99389036724363</v>
      </c>
      <c r="I343" s="42"/>
    </row>
    <row r="344" spans="1:9" ht="12.75" customHeight="1">
      <c r="A344" s="43">
        <v>100</v>
      </c>
      <c r="B344" s="43">
        <v>2</v>
      </c>
      <c r="C344" s="43">
        <v>70</v>
      </c>
      <c r="D344" s="43">
        <v>134.19999999999999</v>
      </c>
      <c r="E344" s="43">
        <f t="shared" si="20"/>
        <v>27.144713700787054</v>
      </c>
      <c r="F344" s="43">
        <f t="shared" si="21"/>
        <v>5.08</v>
      </c>
      <c r="G344" s="43">
        <f t="shared" si="22"/>
        <v>482.63300959999384</v>
      </c>
      <c r="H344" s="43">
        <f t="shared" si="23"/>
        <v>36.428205786456225</v>
      </c>
      <c r="I344" s="42"/>
    </row>
    <row r="345" spans="1:9" ht="12.75" customHeight="1">
      <c r="A345" s="43">
        <v>100</v>
      </c>
      <c r="B345" s="43">
        <v>2</v>
      </c>
      <c r="C345" s="43">
        <v>80</v>
      </c>
      <c r="D345" s="43">
        <v>135.79999999999998</v>
      </c>
      <c r="E345" s="43">
        <f t="shared" si="20"/>
        <v>27.144713700787054</v>
      </c>
      <c r="F345" s="43">
        <f t="shared" si="21"/>
        <v>5.08</v>
      </c>
      <c r="G345" s="43">
        <f t="shared" si="22"/>
        <v>551.58058239999298</v>
      </c>
      <c r="H345" s="43">
        <f t="shared" si="23"/>
        <v>36.862521205668813</v>
      </c>
      <c r="I345" s="42"/>
    </row>
    <row r="346" spans="1:9" ht="12.75" customHeight="1">
      <c r="A346" s="43">
        <v>100</v>
      </c>
      <c r="B346" s="43">
        <v>2</v>
      </c>
      <c r="C346" s="43">
        <v>90</v>
      </c>
      <c r="D346" s="43">
        <v>137.39999999999998</v>
      </c>
      <c r="E346" s="43">
        <f t="shared" si="20"/>
        <v>27.144713700787054</v>
      </c>
      <c r="F346" s="43">
        <f t="shared" si="21"/>
        <v>5.08</v>
      </c>
      <c r="G346" s="43">
        <f t="shared" si="22"/>
        <v>620.52815519999206</v>
      </c>
      <c r="H346" s="43">
        <f t="shared" si="23"/>
        <v>37.296836624881408</v>
      </c>
      <c r="I346" s="42"/>
    </row>
    <row r="347" spans="1:9" ht="12.75" customHeight="1">
      <c r="A347" s="43">
        <v>100</v>
      </c>
      <c r="B347" s="43">
        <v>2</v>
      </c>
      <c r="C347" s="43">
        <v>100</v>
      </c>
      <c r="D347" s="43">
        <v>139</v>
      </c>
      <c r="E347" s="43">
        <f t="shared" si="20"/>
        <v>27.144713700787054</v>
      </c>
      <c r="F347" s="43">
        <f t="shared" si="21"/>
        <v>5.08</v>
      </c>
      <c r="G347" s="43">
        <f t="shared" si="22"/>
        <v>689.47572799999114</v>
      </c>
      <c r="H347" s="43">
        <f t="shared" si="23"/>
        <v>37.731152044094003</v>
      </c>
      <c r="I347" s="42"/>
    </row>
    <row r="348" spans="1:9" ht="12.75" customHeight="1">
      <c r="A348" s="43">
        <v>100</v>
      </c>
      <c r="B348" s="43">
        <v>2</v>
      </c>
      <c r="C348" s="43">
        <v>150</v>
      </c>
      <c r="D348" s="43">
        <v>143.25</v>
      </c>
      <c r="E348" s="43">
        <f t="shared" si="20"/>
        <v>27.144713700787054</v>
      </c>
      <c r="F348" s="43">
        <f t="shared" si="21"/>
        <v>5.08</v>
      </c>
      <c r="G348" s="43">
        <f t="shared" si="22"/>
        <v>1034.2135919999869</v>
      </c>
      <c r="H348" s="43">
        <f t="shared" si="23"/>
        <v>38.884802376377458</v>
      </c>
      <c r="I348" s="42"/>
    </row>
    <row r="349" spans="1:9" ht="12.75" customHeight="1">
      <c r="A349" s="43">
        <v>100</v>
      </c>
      <c r="B349" s="43">
        <v>2</v>
      </c>
      <c r="C349" s="43">
        <v>200</v>
      </c>
      <c r="D349" s="43">
        <v>147.5</v>
      </c>
      <c r="E349" s="43">
        <f t="shared" si="20"/>
        <v>27.144713700787054</v>
      </c>
      <c r="F349" s="43">
        <f t="shared" si="21"/>
        <v>5.08</v>
      </c>
      <c r="G349" s="43">
        <f t="shared" si="22"/>
        <v>1378.9514559999823</v>
      </c>
      <c r="H349" s="43">
        <f t="shared" si="23"/>
        <v>40.038452708660905</v>
      </c>
      <c r="I349" s="42"/>
    </row>
    <row r="350" spans="1:9" ht="12.75" customHeight="1">
      <c r="A350" s="43">
        <v>100</v>
      </c>
      <c r="B350" s="43">
        <v>2</v>
      </c>
      <c r="C350" s="43">
        <v>250</v>
      </c>
      <c r="D350" s="43">
        <v>151.75</v>
      </c>
      <c r="E350" s="43">
        <f t="shared" si="20"/>
        <v>27.144713700787054</v>
      </c>
      <c r="F350" s="43">
        <f t="shared" si="21"/>
        <v>5.08</v>
      </c>
      <c r="G350" s="43">
        <f t="shared" si="22"/>
        <v>1723.6893199999779</v>
      </c>
      <c r="H350" s="43">
        <f t="shared" si="23"/>
        <v>41.192103040944353</v>
      </c>
      <c r="I350" s="42"/>
    </row>
    <row r="351" spans="1:9" ht="12.75" customHeight="1">
      <c r="A351" s="43">
        <v>100</v>
      </c>
      <c r="B351" s="43">
        <v>2</v>
      </c>
      <c r="C351" s="43">
        <v>300</v>
      </c>
      <c r="D351" s="43">
        <v>156</v>
      </c>
      <c r="E351" s="43">
        <f t="shared" si="20"/>
        <v>27.144713700787054</v>
      </c>
      <c r="F351" s="43">
        <f t="shared" si="21"/>
        <v>5.08</v>
      </c>
      <c r="G351" s="43">
        <f t="shared" si="22"/>
        <v>2068.4271839999737</v>
      </c>
      <c r="H351" s="43">
        <f t="shared" si="23"/>
        <v>42.345753373227801</v>
      </c>
      <c r="I351" s="42"/>
    </row>
    <row r="352" spans="1:9" ht="12.75" customHeight="1">
      <c r="A352" s="43">
        <v>100</v>
      </c>
      <c r="B352" s="43">
        <v>2</v>
      </c>
      <c r="C352" s="43">
        <v>350</v>
      </c>
      <c r="D352" s="43">
        <v>159.5</v>
      </c>
      <c r="E352" s="43">
        <f t="shared" si="20"/>
        <v>27.144713700787054</v>
      </c>
      <c r="F352" s="43">
        <f t="shared" si="21"/>
        <v>5.08</v>
      </c>
      <c r="G352" s="43">
        <f t="shared" si="22"/>
        <v>2413.1650479999689</v>
      </c>
      <c r="H352" s="43">
        <f t="shared" si="23"/>
        <v>43.295818352755354</v>
      </c>
      <c r="I352" s="42"/>
    </row>
    <row r="353" spans="1:9" ht="12.75" customHeight="1">
      <c r="A353" s="43">
        <v>100</v>
      </c>
      <c r="B353" s="43">
        <v>2</v>
      </c>
      <c r="C353" s="43">
        <v>400</v>
      </c>
      <c r="D353" s="43">
        <v>163</v>
      </c>
      <c r="E353" s="43">
        <f t="shared" si="20"/>
        <v>27.144713700787054</v>
      </c>
      <c r="F353" s="43">
        <f t="shared" si="21"/>
        <v>5.08</v>
      </c>
      <c r="G353" s="43">
        <f t="shared" si="22"/>
        <v>2757.9029119999645</v>
      </c>
      <c r="H353" s="43">
        <f t="shared" si="23"/>
        <v>44.245883332282894</v>
      </c>
      <c r="I353" s="42"/>
    </row>
    <row r="354" spans="1:9" ht="12.75" customHeight="1">
      <c r="A354" s="43">
        <v>100</v>
      </c>
      <c r="B354" s="43">
        <v>2</v>
      </c>
      <c r="C354" s="43">
        <v>450</v>
      </c>
      <c r="D354" s="43">
        <v>166.5</v>
      </c>
      <c r="E354" s="43">
        <f t="shared" si="20"/>
        <v>27.144713700787054</v>
      </c>
      <c r="F354" s="43">
        <f t="shared" si="21"/>
        <v>5.08</v>
      </c>
      <c r="G354" s="43">
        <f t="shared" si="22"/>
        <v>3102.6407759999602</v>
      </c>
      <c r="H354" s="43">
        <f t="shared" si="23"/>
        <v>45.195948311810447</v>
      </c>
      <c r="I354" s="42"/>
    </row>
    <row r="355" spans="1:9" ht="12.75" customHeight="1">
      <c r="A355" s="43">
        <v>100</v>
      </c>
      <c r="B355" s="43">
        <v>2</v>
      </c>
      <c r="C355" s="43">
        <v>500</v>
      </c>
      <c r="D355" s="43">
        <v>170</v>
      </c>
      <c r="E355" s="43">
        <f t="shared" si="20"/>
        <v>27.144713700787054</v>
      </c>
      <c r="F355" s="43">
        <f t="shared" si="21"/>
        <v>5.08</v>
      </c>
      <c r="G355" s="43">
        <f t="shared" si="22"/>
        <v>3447.3786399999558</v>
      </c>
      <c r="H355" s="43">
        <f t="shared" si="23"/>
        <v>46.146013291337987</v>
      </c>
      <c r="I355" s="42"/>
    </row>
    <row r="356" spans="1:9" ht="12.75" customHeight="1">
      <c r="A356" s="43">
        <v>100</v>
      </c>
      <c r="B356" s="43">
        <v>2</v>
      </c>
      <c r="C356" s="43">
        <v>550</v>
      </c>
      <c r="D356" s="43">
        <v>172.9</v>
      </c>
      <c r="E356" s="43">
        <f t="shared" si="20"/>
        <v>27.144713700787054</v>
      </c>
      <c r="F356" s="43">
        <f t="shared" si="21"/>
        <v>5.08</v>
      </c>
      <c r="G356" s="43">
        <f t="shared" si="22"/>
        <v>3792.1165039999514</v>
      </c>
      <c r="H356" s="43">
        <f t="shared" si="23"/>
        <v>46.93320998866082</v>
      </c>
      <c r="I356" s="42"/>
    </row>
    <row r="357" spans="1:9" ht="12.75" customHeight="1">
      <c r="A357" s="43">
        <v>100</v>
      </c>
      <c r="B357" s="43">
        <v>2</v>
      </c>
      <c r="C357" s="43">
        <v>600</v>
      </c>
      <c r="D357" s="43">
        <v>175.8</v>
      </c>
      <c r="E357" s="43">
        <f t="shared" si="20"/>
        <v>27.144713700787054</v>
      </c>
      <c r="F357" s="43">
        <f t="shared" si="21"/>
        <v>5.08</v>
      </c>
      <c r="G357" s="43">
        <f t="shared" si="22"/>
        <v>4136.8543679999475</v>
      </c>
      <c r="H357" s="43">
        <f t="shared" si="23"/>
        <v>47.72040668598364</v>
      </c>
      <c r="I357" s="42"/>
    </row>
    <row r="358" spans="1:9" ht="12.75" customHeight="1">
      <c r="A358" s="43">
        <v>100</v>
      </c>
      <c r="B358" s="43">
        <v>2</v>
      </c>
      <c r="C358" s="43">
        <v>650</v>
      </c>
      <c r="D358" s="43">
        <v>178.70000000000002</v>
      </c>
      <c r="E358" s="43">
        <f t="shared" si="20"/>
        <v>27.144713700787054</v>
      </c>
      <c r="F358" s="43">
        <f t="shared" si="21"/>
        <v>5.08</v>
      </c>
      <c r="G358" s="43">
        <f t="shared" si="22"/>
        <v>4481.5922319999427</v>
      </c>
      <c r="H358" s="43">
        <f t="shared" si="23"/>
        <v>48.507603383306467</v>
      </c>
      <c r="I358" s="42"/>
    </row>
    <row r="359" spans="1:9" ht="12.75" customHeight="1">
      <c r="A359" s="43">
        <v>100</v>
      </c>
      <c r="B359" s="43">
        <v>2</v>
      </c>
      <c r="C359" s="43">
        <v>700</v>
      </c>
      <c r="D359" s="43">
        <v>181.60000000000002</v>
      </c>
      <c r="E359" s="43">
        <f t="shared" si="20"/>
        <v>27.144713700787054</v>
      </c>
      <c r="F359" s="43">
        <f t="shared" si="21"/>
        <v>5.08</v>
      </c>
      <c r="G359" s="43">
        <f t="shared" si="22"/>
        <v>4826.3300959999378</v>
      </c>
      <c r="H359" s="43">
        <f t="shared" si="23"/>
        <v>49.294800080629287</v>
      </c>
      <c r="I359" s="42"/>
    </row>
    <row r="360" spans="1:9" ht="12.75" customHeight="1">
      <c r="A360" s="43">
        <v>100</v>
      </c>
      <c r="B360" s="43">
        <v>2</v>
      </c>
      <c r="C360" s="43">
        <v>750</v>
      </c>
      <c r="D360" s="43">
        <v>184.50000000000003</v>
      </c>
      <c r="E360" s="43">
        <f t="shared" si="20"/>
        <v>27.144713700787054</v>
      </c>
      <c r="F360" s="43">
        <f t="shared" si="21"/>
        <v>5.08</v>
      </c>
      <c r="G360" s="43">
        <f t="shared" si="22"/>
        <v>5171.0679599999339</v>
      </c>
      <c r="H360" s="43">
        <f t="shared" si="23"/>
        <v>50.081996777952121</v>
      </c>
      <c r="I360" s="42"/>
    </row>
    <row r="361" spans="1:9" ht="12.75" customHeight="1">
      <c r="A361" s="43">
        <v>100</v>
      </c>
      <c r="B361" s="43">
        <v>2</v>
      </c>
      <c r="C361" s="43">
        <v>800</v>
      </c>
      <c r="D361" s="43">
        <v>187.40000000000003</v>
      </c>
      <c r="E361" s="43">
        <f t="shared" si="20"/>
        <v>27.144713700787054</v>
      </c>
      <c r="F361" s="43">
        <f t="shared" si="21"/>
        <v>5.08</v>
      </c>
      <c r="G361" s="43">
        <f t="shared" si="22"/>
        <v>5515.8058239999291</v>
      </c>
      <c r="H361" s="43">
        <f t="shared" si="23"/>
        <v>50.869193475274948</v>
      </c>
      <c r="I361" s="42"/>
    </row>
    <row r="362" spans="1:9" ht="12.75" customHeight="1">
      <c r="A362" s="43">
        <v>100</v>
      </c>
      <c r="B362" s="43">
        <v>2</v>
      </c>
      <c r="C362" s="43">
        <v>850</v>
      </c>
      <c r="D362" s="43">
        <v>190.30000000000004</v>
      </c>
      <c r="E362" s="43">
        <f t="shared" si="20"/>
        <v>27.144713700787054</v>
      </c>
      <c r="F362" s="43">
        <f t="shared" si="21"/>
        <v>5.08</v>
      </c>
      <c r="G362" s="43">
        <f t="shared" si="22"/>
        <v>5860.5436879999252</v>
      </c>
      <c r="H362" s="43">
        <f t="shared" si="23"/>
        <v>51.656390172597767</v>
      </c>
      <c r="I362" s="42"/>
    </row>
    <row r="363" spans="1:9" ht="12.75" customHeight="1">
      <c r="A363" s="43">
        <v>100</v>
      </c>
      <c r="B363" s="43">
        <v>2</v>
      </c>
      <c r="C363" s="43">
        <v>900</v>
      </c>
      <c r="D363" s="43">
        <v>193.20000000000005</v>
      </c>
      <c r="E363" s="43">
        <f t="shared" si="20"/>
        <v>27.144713700787054</v>
      </c>
      <c r="F363" s="43">
        <f t="shared" si="21"/>
        <v>5.08</v>
      </c>
      <c r="G363" s="43">
        <f t="shared" si="22"/>
        <v>6205.2815519999203</v>
      </c>
      <c r="H363" s="43">
        <f t="shared" si="23"/>
        <v>52.443586869920601</v>
      </c>
      <c r="I363" s="42"/>
    </row>
    <row r="364" spans="1:9" ht="12.75" customHeight="1">
      <c r="A364" s="43">
        <v>100</v>
      </c>
      <c r="B364" s="43">
        <v>2</v>
      </c>
      <c r="C364" s="43">
        <v>950</v>
      </c>
      <c r="D364" s="43">
        <v>196.10000000000005</v>
      </c>
      <c r="E364" s="43">
        <f t="shared" si="20"/>
        <v>27.144713700787054</v>
      </c>
      <c r="F364" s="43">
        <f t="shared" si="21"/>
        <v>5.08</v>
      </c>
      <c r="G364" s="43">
        <f t="shared" si="22"/>
        <v>6550.0194159999164</v>
      </c>
      <c r="H364" s="43">
        <f t="shared" si="23"/>
        <v>53.230783567243428</v>
      </c>
      <c r="I364" s="42"/>
    </row>
    <row r="365" spans="1:9" ht="12.75" customHeight="1">
      <c r="A365" s="43">
        <v>100</v>
      </c>
      <c r="B365" s="43">
        <v>2</v>
      </c>
      <c r="C365" s="43">
        <v>1000</v>
      </c>
      <c r="D365" s="43">
        <v>199</v>
      </c>
      <c r="E365" s="43">
        <f t="shared" si="20"/>
        <v>27.144713700787054</v>
      </c>
      <c r="F365" s="43">
        <f t="shared" si="21"/>
        <v>5.08</v>
      </c>
      <c r="G365" s="43">
        <f t="shared" si="22"/>
        <v>6894.7572799999116</v>
      </c>
      <c r="H365" s="43">
        <f t="shared" si="23"/>
        <v>54.017980264566233</v>
      </c>
      <c r="I365" s="42"/>
    </row>
    <row r="366" spans="1:9" ht="12.75" customHeight="1">
      <c r="A366" s="43">
        <v>100</v>
      </c>
      <c r="B366" s="43">
        <v>2</v>
      </c>
      <c r="C366" s="43">
        <v>1100</v>
      </c>
      <c r="D366" s="43">
        <v>204.1</v>
      </c>
      <c r="E366" s="43">
        <f t="shared" si="20"/>
        <v>27.144713700787054</v>
      </c>
      <c r="F366" s="43">
        <f t="shared" si="21"/>
        <v>5.08</v>
      </c>
      <c r="G366" s="43">
        <f t="shared" si="22"/>
        <v>7584.2330079999028</v>
      </c>
      <c r="H366" s="43">
        <f t="shared" si="23"/>
        <v>55.402360663306375</v>
      </c>
      <c r="I366" s="42"/>
    </row>
    <row r="367" spans="1:9" ht="12.75" customHeight="1">
      <c r="A367" s="43">
        <v>100</v>
      </c>
      <c r="B367" s="43">
        <v>2</v>
      </c>
      <c r="C367" s="43">
        <v>1200</v>
      </c>
      <c r="D367" s="43">
        <v>209.2</v>
      </c>
      <c r="E367" s="43">
        <f t="shared" si="20"/>
        <v>27.144713700787054</v>
      </c>
      <c r="F367" s="43">
        <f t="shared" si="21"/>
        <v>5.08</v>
      </c>
      <c r="G367" s="43">
        <f t="shared" si="22"/>
        <v>8273.708735999895</v>
      </c>
      <c r="H367" s="43">
        <f t="shared" si="23"/>
        <v>56.786741062046517</v>
      </c>
      <c r="I367" s="42"/>
    </row>
    <row r="368" spans="1:9" ht="12.75" customHeight="1">
      <c r="A368" s="43">
        <v>100</v>
      </c>
      <c r="B368" s="43">
        <v>2</v>
      </c>
      <c r="C368" s="43">
        <v>1300</v>
      </c>
      <c r="D368" s="43">
        <v>214.29999999999998</v>
      </c>
      <c r="E368" s="43">
        <f t="shared" si="20"/>
        <v>27.144713700787054</v>
      </c>
      <c r="F368" s="43">
        <f t="shared" si="21"/>
        <v>5.08</v>
      </c>
      <c r="G368" s="43">
        <f t="shared" si="22"/>
        <v>8963.1844639998853</v>
      </c>
      <c r="H368" s="43">
        <f t="shared" si="23"/>
        <v>58.171121460786651</v>
      </c>
      <c r="I368" s="42"/>
    </row>
    <row r="369" spans="1:9" ht="12.75" customHeight="1">
      <c r="A369" s="43">
        <v>100</v>
      </c>
      <c r="B369" s="43">
        <v>2</v>
      </c>
      <c r="C369" s="43">
        <v>1400</v>
      </c>
      <c r="D369" s="43">
        <v>219.39999999999998</v>
      </c>
      <c r="E369" s="43">
        <f t="shared" si="20"/>
        <v>27.144713700787054</v>
      </c>
      <c r="F369" s="43">
        <f t="shared" si="21"/>
        <v>5.08</v>
      </c>
      <c r="G369" s="43">
        <f t="shared" si="22"/>
        <v>9652.6601919998757</v>
      </c>
      <c r="H369" s="43">
        <f t="shared" si="23"/>
        <v>59.555501859526785</v>
      </c>
      <c r="I369" s="42"/>
    </row>
    <row r="370" spans="1:9" ht="12.75" customHeight="1">
      <c r="A370" s="43">
        <v>100</v>
      </c>
      <c r="B370" s="43">
        <v>2</v>
      </c>
      <c r="C370" s="43">
        <v>1500</v>
      </c>
      <c r="D370" s="43">
        <v>224.49999999999997</v>
      </c>
      <c r="E370" s="43">
        <f t="shared" si="20"/>
        <v>27.144713700787054</v>
      </c>
      <c r="F370" s="43">
        <f t="shared" si="21"/>
        <v>5.08</v>
      </c>
      <c r="G370" s="43">
        <f t="shared" si="22"/>
        <v>10342.135919999868</v>
      </c>
      <c r="H370" s="43">
        <f t="shared" si="23"/>
        <v>60.939882258266927</v>
      </c>
      <c r="I370" s="42"/>
    </row>
    <row r="371" spans="1:9" ht="12.75" customHeight="1">
      <c r="A371" s="43">
        <v>100</v>
      </c>
      <c r="B371" s="43">
        <v>2</v>
      </c>
      <c r="C371" s="43">
        <v>1600</v>
      </c>
      <c r="D371" s="43">
        <v>229.59999999999997</v>
      </c>
      <c r="E371" s="43">
        <f t="shared" si="20"/>
        <v>27.144713700787054</v>
      </c>
      <c r="F371" s="43">
        <f t="shared" si="21"/>
        <v>5.08</v>
      </c>
      <c r="G371" s="43">
        <f t="shared" si="22"/>
        <v>11031.611647999858</v>
      </c>
      <c r="H371" s="43">
        <f t="shared" si="23"/>
        <v>62.324262657007061</v>
      </c>
      <c r="I371" s="42"/>
    </row>
    <row r="372" spans="1:9" ht="12.75" customHeight="1">
      <c r="A372" s="43">
        <v>100</v>
      </c>
      <c r="B372" s="43">
        <v>2</v>
      </c>
      <c r="C372" s="43">
        <v>1700</v>
      </c>
      <c r="D372" s="43">
        <v>234.69999999999996</v>
      </c>
      <c r="E372" s="43">
        <f t="shared" si="20"/>
        <v>27.144713700787054</v>
      </c>
      <c r="F372" s="43">
        <f t="shared" si="21"/>
        <v>5.08</v>
      </c>
      <c r="G372" s="43">
        <f t="shared" si="22"/>
        <v>11721.08737599985</v>
      </c>
      <c r="H372" s="43">
        <f t="shared" si="23"/>
        <v>63.708643055747203</v>
      </c>
      <c r="I372" s="42"/>
    </row>
    <row r="373" spans="1:9" ht="12.75" customHeight="1">
      <c r="A373" s="43">
        <v>100</v>
      </c>
      <c r="B373" s="43">
        <v>2</v>
      </c>
      <c r="C373" s="43">
        <v>1800</v>
      </c>
      <c r="D373" s="43">
        <v>239.79999999999995</v>
      </c>
      <c r="E373" s="43">
        <f t="shared" si="20"/>
        <v>27.144713700787054</v>
      </c>
      <c r="F373" s="43">
        <f t="shared" si="21"/>
        <v>5.08</v>
      </c>
      <c r="G373" s="43">
        <f t="shared" si="22"/>
        <v>12410.563103999841</v>
      </c>
      <c r="H373" s="43">
        <f t="shared" si="23"/>
        <v>65.093023454487351</v>
      </c>
      <c r="I373" s="42"/>
    </row>
    <row r="374" spans="1:9" ht="12.75" customHeight="1">
      <c r="A374" s="43">
        <v>100</v>
      </c>
      <c r="B374" s="43">
        <v>2</v>
      </c>
      <c r="C374" s="43">
        <v>1900</v>
      </c>
      <c r="D374" s="43">
        <v>244.89999999999995</v>
      </c>
      <c r="E374" s="43">
        <f t="shared" si="20"/>
        <v>27.144713700787054</v>
      </c>
      <c r="F374" s="43">
        <f t="shared" si="21"/>
        <v>5.08</v>
      </c>
      <c r="G374" s="43">
        <f t="shared" si="22"/>
        <v>13100.038831999833</v>
      </c>
      <c r="H374" s="43">
        <f t="shared" si="23"/>
        <v>66.477403853227472</v>
      </c>
      <c r="I374" s="42"/>
    </row>
    <row r="375" spans="1:9" ht="12.75" customHeight="1">
      <c r="A375" s="43">
        <v>100</v>
      </c>
      <c r="B375" s="43">
        <v>2</v>
      </c>
      <c r="C375" s="43">
        <v>2000</v>
      </c>
      <c r="D375" s="43">
        <v>250</v>
      </c>
      <c r="E375" s="43">
        <f t="shared" si="20"/>
        <v>27.144713700787054</v>
      </c>
      <c r="F375" s="43">
        <f t="shared" si="21"/>
        <v>5.08</v>
      </c>
      <c r="G375" s="43">
        <f t="shared" si="22"/>
        <v>13789.514559999823</v>
      </c>
      <c r="H375" s="43">
        <f t="shared" si="23"/>
        <v>67.861784251967634</v>
      </c>
      <c r="I375" s="42"/>
    </row>
    <row r="376" spans="1:9" ht="12.75" customHeight="1">
      <c r="A376" s="43">
        <v>100</v>
      </c>
      <c r="B376" s="43">
        <v>3</v>
      </c>
      <c r="C376" s="43">
        <v>50</v>
      </c>
      <c r="D376" s="43">
        <v>143</v>
      </c>
      <c r="E376" s="43">
        <f t="shared" si="20"/>
        <v>27.144713700787054</v>
      </c>
      <c r="F376" s="43">
        <f t="shared" si="21"/>
        <v>7.62</v>
      </c>
      <c r="G376" s="43">
        <f t="shared" si="22"/>
        <v>344.73786399999557</v>
      </c>
      <c r="H376" s="43">
        <f t="shared" si="23"/>
        <v>38.816940592125484</v>
      </c>
      <c r="I376" s="42"/>
    </row>
    <row r="377" spans="1:9" ht="12.75" customHeight="1">
      <c r="A377" s="43">
        <v>100</v>
      </c>
      <c r="B377" s="43">
        <v>3</v>
      </c>
      <c r="C377" s="43">
        <v>60</v>
      </c>
      <c r="D377" s="43">
        <v>145.6</v>
      </c>
      <c r="E377" s="43">
        <f t="shared" si="20"/>
        <v>27.144713700787054</v>
      </c>
      <c r="F377" s="43">
        <f t="shared" si="21"/>
        <v>7.62</v>
      </c>
      <c r="G377" s="43">
        <f t="shared" si="22"/>
        <v>413.6854367999947</v>
      </c>
      <c r="H377" s="43">
        <f t="shared" si="23"/>
        <v>39.52270314834594</v>
      </c>
      <c r="I377" s="42"/>
    </row>
    <row r="378" spans="1:9" ht="12.75" customHeight="1">
      <c r="A378" s="43">
        <v>100</v>
      </c>
      <c r="B378" s="43">
        <v>3</v>
      </c>
      <c r="C378" s="43">
        <v>70</v>
      </c>
      <c r="D378" s="43">
        <v>148.19999999999999</v>
      </c>
      <c r="E378" s="43">
        <f t="shared" si="20"/>
        <v>27.144713700787054</v>
      </c>
      <c r="F378" s="43">
        <f t="shared" si="21"/>
        <v>7.62</v>
      </c>
      <c r="G378" s="43">
        <f t="shared" si="22"/>
        <v>482.63300959999384</v>
      </c>
      <c r="H378" s="43">
        <f t="shared" si="23"/>
        <v>40.22846570456641</v>
      </c>
      <c r="I378" s="42"/>
    </row>
    <row r="379" spans="1:9" ht="12.75" customHeight="1">
      <c r="A379" s="43">
        <v>100</v>
      </c>
      <c r="B379" s="43">
        <v>3</v>
      </c>
      <c r="C379" s="43">
        <v>80</v>
      </c>
      <c r="D379" s="43">
        <v>150.79999999999998</v>
      </c>
      <c r="E379" s="43">
        <f t="shared" si="20"/>
        <v>27.144713700787054</v>
      </c>
      <c r="F379" s="43">
        <f t="shared" si="21"/>
        <v>7.62</v>
      </c>
      <c r="G379" s="43">
        <f t="shared" si="22"/>
        <v>551.58058239999298</v>
      </c>
      <c r="H379" s="43">
        <f t="shared" si="23"/>
        <v>40.934228260786874</v>
      </c>
      <c r="I379" s="42"/>
    </row>
    <row r="380" spans="1:9" ht="12.75" customHeight="1">
      <c r="A380" s="43">
        <v>100</v>
      </c>
      <c r="B380" s="43">
        <v>3</v>
      </c>
      <c r="C380" s="43">
        <v>90</v>
      </c>
      <c r="D380" s="43">
        <v>153.39999999999998</v>
      </c>
      <c r="E380" s="43">
        <f t="shared" si="20"/>
        <v>27.144713700787054</v>
      </c>
      <c r="F380" s="43">
        <f t="shared" si="21"/>
        <v>7.62</v>
      </c>
      <c r="G380" s="43">
        <f t="shared" si="22"/>
        <v>620.52815519999206</v>
      </c>
      <c r="H380" s="43">
        <f t="shared" si="23"/>
        <v>41.63999081700733</v>
      </c>
      <c r="I380" s="42"/>
    </row>
    <row r="381" spans="1:9" ht="12.75" customHeight="1">
      <c r="A381" s="43">
        <v>100</v>
      </c>
      <c r="B381" s="43">
        <v>3</v>
      </c>
      <c r="C381" s="43">
        <v>100</v>
      </c>
      <c r="D381" s="43">
        <v>156</v>
      </c>
      <c r="E381" s="43">
        <f t="shared" si="20"/>
        <v>27.144713700787054</v>
      </c>
      <c r="F381" s="43">
        <f t="shared" si="21"/>
        <v>7.62</v>
      </c>
      <c r="G381" s="43">
        <f t="shared" si="22"/>
        <v>689.47572799999114</v>
      </c>
      <c r="H381" s="43">
        <f t="shared" si="23"/>
        <v>42.345753373227801</v>
      </c>
      <c r="I381" s="42"/>
    </row>
    <row r="382" spans="1:9" ht="12.75" customHeight="1">
      <c r="A382" s="43">
        <v>100</v>
      </c>
      <c r="B382" s="43">
        <v>3</v>
      </c>
      <c r="C382" s="43">
        <v>150</v>
      </c>
      <c r="D382" s="43">
        <v>164.5</v>
      </c>
      <c r="E382" s="43">
        <f t="shared" si="20"/>
        <v>27.144713700787054</v>
      </c>
      <c r="F382" s="43">
        <f t="shared" si="21"/>
        <v>7.62</v>
      </c>
      <c r="G382" s="43">
        <f t="shared" si="22"/>
        <v>1034.2135919999869</v>
      </c>
      <c r="H382" s="43">
        <f t="shared" si="23"/>
        <v>44.653054037794703</v>
      </c>
      <c r="I382" s="42"/>
    </row>
    <row r="383" spans="1:9" ht="12.75" customHeight="1">
      <c r="A383" s="43">
        <v>100</v>
      </c>
      <c r="B383" s="43">
        <v>3</v>
      </c>
      <c r="C383" s="43">
        <v>200</v>
      </c>
      <c r="D383" s="43">
        <v>173</v>
      </c>
      <c r="E383" s="43">
        <f t="shared" si="20"/>
        <v>27.144713700787054</v>
      </c>
      <c r="F383" s="43">
        <f t="shared" si="21"/>
        <v>7.62</v>
      </c>
      <c r="G383" s="43">
        <f t="shared" si="22"/>
        <v>1378.9514559999823</v>
      </c>
      <c r="H383" s="43">
        <f t="shared" si="23"/>
        <v>46.960354702361599</v>
      </c>
      <c r="I383" s="42"/>
    </row>
    <row r="384" spans="1:9" ht="12.75" customHeight="1">
      <c r="A384" s="43">
        <v>100</v>
      </c>
      <c r="B384" s="43">
        <v>3</v>
      </c>
      <c r="C384" s="43">
        <v>250</v>
      </c>
      <c r="D384" s="43">
        <v>181.5</v>
      </c>
      <c r="E384" s="43">
        <f t="shared" si="20"/>
        <v>27.144713700787054</v>
      </c>
      <c r="F384" s="43">
        <f t="shared" si="21"/>
        <v>7.62</v>
      </c>
      <c r="G384" s="43">
        <f t="shared" si="22"/>
        <v>1723.6893199999779</v>
      </c>
      <c r="H384" s="43">
        <f t="shared" si="23"/>
        <v>49.267655366928501</v>
      </c>
      <c r="I384" s="42"/>
    </row>
    <row r="385" spans="1:9" ht="12.75" customHeight="1">
      <c r="A385" s="43">
        <v>100</v>
      </c>
      <c r="B385" s="43">
        <v>3</v>
      </c>
      <c r="C385" s="43">
        <v>300</v>
      </c>
      <c r="D385" s="43">
        <v>190</v>
      </c>
      <c r="E385" s="43">
        <f t="shared" si="20"/>
        <v>27.144713700787054</v>
      </c>
      <c r="F385" s="43">
        <f t="shared" si="21"/>
        <v>7.62</v>
      </c>
      <c r="G385" s="43">
        <f t="shared" si="22"/>
        <v>2068.4271839999737</v>
      </c>
      <c r="H385" s="43">
        <f t="shared" si="23"/>
        <v>51.574956031495404</v>
      </c>
      <c r="I385" s="42"/>
    </row>
    <row r="386" spans="1:9" ht="12.75" customHeight="1">
      <c r="A386" s="43">
        <v>100</v>
      </c>
      <c r="B386" s="43">
        <v>3</v>
      </c>
      <c r="C386" s="43">
        <v>350</v>
      </c>
      <c r="D386" s="43">
        <v>197.75</v>
      </c>
      <c r="E386" s="43">
        <f t="shared" si="20"/>
        <v>27.144713700787054</v>
      </c>
      <c r="F386" s="43">
        <f t="shared" si="21"/>
        <v>7.62</v>
      </c>
      <c r="G386" s="43">
        <f t="shared" si="22"/>
        <v>2413.1650479999689</v>
      </c>
      <c r="H386" s="43">
        <f t="shared" si="23"/>
        <v>53.678671343306398</v>
      </c>
      <c r="I386" s="42"/>
    </row>
    <row r="387" spans="1:9" ht="12.75" customHeight="1">
      <c r="A387" s="43">
        <v>100</v>
      </c>
      <c r="B387" s="43">
        <v>3</v>
      </c>
      <c r="C387" s="43">
        <v>400</v>
      </c>
      <c r="D387" s="43">
        <v>205.5</v>
      </c>
      <c r="E387" s="43">
        <f t="shared" ref="E387:E450" si="24">A387/145.03773800722/0.0254</f>
        <v>27.144713700787054</v>
      </c>
      <c r="F387" s="43">
        <f t="shared" ref="F387:F450" si="25">B387*2.54</f>
        <v>7.62</v>
      </c>
      <c r="G387" s="43">
        <f t="shared" ref="G387:G450" si="26">C387/0.14503773800722</f>
        <v>2757.9029119999645</v>
      </c>
      <c r="H387" s="43">
        <f t="shared" ref="H387:H450" si="27">D387/145.03773800722/0.0254</f>
        <v>55.782386655117399</v>
      </c>
      <c r="I387" s="42"/>
    </row>
    <row r="388" spans="1:9" ht="12.75" customHeight="1">
      <c r="A388" s="43">
        <v>100</v>
      </c>
      <c r="B388" s="43">
        <v>3</v>
      </c>
      <c r="C388" s="43">
        <v>450</v>
      </c>
      <c r="D388" s="43">
        <v>213.25</v>
      </c>
      <c r="E388" s="43">
        <f t="shared" si="24"/>
        <v>27.144713700787054</v>
      </c>
      <c r="F388" s="43">
        <f t="shared" si="25"/>
        <v>7.62</v>
      </c>
      <c r="G388" s="43">
        <f t="shared" si="26"/>
        <v>3102.6407759999602</v>
      </c>
      <c r="H388" s="43">
        <f t="shared" si="27"/>
        <v>57.886101966928386</v>
      </c>
      <c r="I388" s="42"/>
    </row>
    <row r="389" spans="1:9" ht="12.75" customHeight="1">
      <c r="A389" s="43">
        <v>100</v>
      </c>
      <c r="B389" s="43">
        <v>3</v>
      </c>
      <c r="C389" s="43">
        <v>500</v>
      </c>
      <c r="D389" s="43">
        <v>221</v>
      </c>
      <c r="E389" s="43">
        <f t="shared" si="24"/>
        <v>27.144713700787054</v>
      </c>
      <c r="F389" s="43">
        <f t="shared" si="25"/>
        <v>7.62</v>
      </c>
      <c r="G389" s="43">
        <f t="shared" si="26"/>
        <v>3447.3786399999558</v>
      </c>
      <c r="H389" s="43">
        <f t="shared" si="27"/>
        <v>59.989817278739388</v>
      </c>
      <c r="I389" s="42"/>
    </row>
    <row r="390" spans="1:9" ht="12.75" customHeight="1">
      <c r="A390" s="43">
        <v>100</v>
      </c>
      <c r="B390" s="43">
        <v>3</v>
      </c>
      <c r="C390" s="43">
        <v>550</v>
      </c>
      <c r="D390" s="43">
        <v>228.1</v>
      </c>
      <c r="E390" s="43">
        <f t="shared" si="24"/>
        <v>27.144713700787054</v>
      </c>
      <c r="F390" s="43">
        <f t="shared" si="25"/>
        <v>7.62</v>
      </c>
      <c r="G390" s="43">
        <f t="shared" si="26"/>
        <v>3792.1165039999514</v>
      </c>
      <c r="H390" s="43">
        <f t="shared" si="27"/>
        <v>61.917091951495266</v>
      </c>
      <c r="I390" s="42"/>
    </row>
    <row r="391" spans="1:9" ht="12.75" customHeight="1">
      <c r="A391" s="43">
        <v>100</v>
      </c>
      <c r="B391" s="43">
        <v>3</v>
      </c>
      <c r="C391" s="43">
        <v>600</v>
      </c>
      <c r="D391" s="43">
        <v>235.2</v>
      </c>
      <c r="E391" s="43">
        <f t="shared" si="24"/>
        <v>27.144713700787054</v>
      </c>
      <c r="F391" s="43">
        <f t="shared" si="25"/>
        <v>7.62</v>
      </c>
      <c r="G391" s="43">
        <f t="shared" si="26"/>
        <v>4136.8543679999475</v>
      </c>
      <c r="H391" s="43">
        <f t="shared" si="27"/>
        <v>63.844366624251151</v>
      </c>
      <c r="I391" s="42"/>
    </row>
    <row r="392" spans="1:9" ht="12.75" customHeight="1">
      <c r="A392" s="43">
        <v>100</v>
      </c>
      <c r="B392" s="43">
        <v>3</v>
      </c>
      <c r="C392" s="43">
        <v>650</v>
      </c>
      <c r="D392" s="43">
        <v>242.29999999999998</v>
      </c>
      <c r="E392" s="43">
        <f t="shared" si="24"/>
        <v>27.144713700787054</v>
      </c>
      <c r="F392" s="43">
        <f t="shared" si="25"/>
        <v>7.62</v>
      </c>
      <c r="G392" s="43">
        <f t="shared" si="26"/>
        <v>4481.5922319999427</v>
      </c>
      <c r="H392" s="43">
        <f t="shared" si="27"/>
        <v>65.771641297007022</v>
      </c>
      <c r="I392" s="42"/>
    </row>
    <row r="393" spans="1:9" ht="12.75" customHeight="1">
      <c r="A393" s="43">
        <v>100</v>
      </c>
      <c r="B393" s="43">
        <v>3</v>
      </c>
      <c r="C393" s="43">
        <v>700</v>
      </c>
      <c r="D393" s="43">
        <v>249.39999999999998</v>
      </c>
      <c r="E393" s="43">
        <f t="shared" si="24"/>
        <v>27.144713700787054</v>
      </c>
      <c r="F393" s="43">
        <f t="shared" si="25"/>
        <v>7.62</v>
      </c>
      <c r="G393" s="43">
        <f t="shared" si="26"/>
        <v>4826.3300959999378</v>
      </c>
      <c r="H393" s="43">
        <f t="shared" si="27"/>
        <v>67.698915969762908</v>
      </c>
      <c r="I393" s="42"/>
    </row>
    <row r="394" spans="1:9" ht="12.75" customHeight="1">
      <c r="A394" s="43">
        <v>100</v>
      </c>
      <c r="B394" s="43">
        <v>3</v>
      </c>
      <c r="C394" s="43">
        <v>750</v>
      </c>
      <c r="D394" s="43">
        <v>256.5</v>
      </c>
      <c r="E394" s="43">
        <f t="shared" si="24"/>
        <v>27.144713700787054</v>
      </c>
      <c r="F394" s="43">
        <f t="shared" si="25"/>
        <v>7.62</v>
      </c>
      <c r="G394" s="43">
        <f t="shared" si="26"/>
        <v>5171.0679599999339</v>
      </c>
      <c r="H394" s="43">
        <f t="shared" si="27"/>
        <v>69.626190642518793</v>
      </c>
      <c r="I394" s="42"/>
    </row>
    <row r="395" spans="1:9" ht="12.75" customHeight="1">
      <c r="A395" s="43">
        <v>100</v>
      </c>
      <c r="B395" s="43">
        <v>3</v>
      </c>
      <c r="C395" s="43">
        <v>800</v>
      </c>
      <c r="D395" s="43">
        <v>263.60000000000002</v>
      </c>
      <c r="E395" s="43">
        <f t="shared" si="24"/>
        <v>27.144713700787054</v>
      </c>
      <c r="F395" s="43">
        <f t="shared" si="25"/>
        <v>7.62</v>
      </c>
      <c r="G395" s="43">
        <f t="shared" si="26"/>
        <v>5515.8058239999291</v>
      </c>
      <c r="H395" s="43">
        <f t="shared" si="27"/>
        <v>71.553465315274678</v>
      </c>
      <c r="I395" s="42"/>
    </row>
    <row r="396" spans="1:9" ht="12.75" customHeight="1">
      <c r="A396" s="43">
        <v>100</v>
      </c>
      <c r="B396" s="43">
        <v>3</v>
      </c>
      <c r="C396" s="43">
        <v>850</v>
      </c>
      <c r="D396" s="43">
        <v>270.70000000000005</v>
      </c>
      <c r="E396" s="43">
        <f t="shared" si="24"/>
        <v>27.144713700787054</v>
      </c>
      <c r="F396" s="43">
        <f t="shared" si="25"/>
        <v>7.62</v>
      </c>
      <c r="G396" s="43">
        <f t="shared" si="26"/>
        <v>5860.5436879999252</v>
      </c>
      <c r="H396" s="43">
        <f t="shared" si="27"/>
        <v>73.480739988030564</v>
      </c>
      <c r="I396" s="42"/>
    </row>
    <row r="397" spans="1:9" ht="12.75" customHeight="1">
      <c r="A397" s="43">
        <v>100</v>
      </c>
      <c r="B397" s="43">
        <v>3</v>
      </c>
      <c r="C397" s="43">
        <v>900</v>
      </c>
      <c r="D397" s="43">
        <v>277.80000000000007</v>
      </c>
      <c r="E397" s="43">
        <f t="shared" si="24"/>
        <v>27.144713700787054</v>
      </c>
      <c r="F397" s="43">
        <f t="shared" si="25"/>
        <v>7.62</v>
      </c>
      <c r="G397" s="43">
        <f t="shared" si="26"/>
        <v>6205.2815519999203</v>
      </c>
      <c r="H397" s="43">
        <f t="shared" si="27"/>
        <v>75.408014660786449</v>
      </c>
      <c r="I397" s="42"/>
    </row>
    <row r="398" spans="1:9" ht="12.75" customHeight="1">
      <c r="A398" s="43">
        <v>100</v>
      </c>
      <c r="B398" s="43">
        <v>3</v>
      </c>
      <c r="C398" s="43">
        <v>950</v>
      </c>
      <c r="D398" s="43">
        <v>284.90000000000009</v>
      </c>
      <c r="E398" s="43">
        <f t="shared" si="24"/>
        <v>27.144713700787054</v>
      </c>
      <c r="F398" s="43">
        <f t="shared" si="25"/>
        <v>7.62</v>
      </c>
      <c r="G398" s="43">
        <f t="shared" si="26"/>
        <v>6550.0194159999164</v>
      </c>
      <c r="H398" s="43">
        <f t="shared" si="27"/>
        <v>77.335289333542335</v>
      </c>
      <c r="I398" s="42"/>
    </row>
    <row r="399" spans="1:9" ht="12.75" customHeight="1">
      <c r="A399" s="43">
        <v>100</v>
      </c>
      <c r="B399" s="43">
        <v>3</v>
      </c>
      <c r="C399" s="43">
        <v>1000</v>
      </c>
      <c r="D399" s="43">
        <v>292</v>
      </c>
      <c r="E399" s="43">
        <f t="shared" si="24"/>
        <v>27.144713700787054</v>
      </c>
      <c r="F399" s="43">
        <f t="shared" si="25"/>
        <v>7.62</v>
      </c>
      <c r="G399" s="43">
        <f t="shared" si="26"/>
        <v>6894.7572799999116</v>
      </c>
      <c r="H399" s="43">
        <f t="shared" si="27"/>
        <v>79.262564006298206</v>
      </c>
      <c r="I399" s="42"/>
    </row>
    <row r="400" spans="1:9" ht="12.75" customHeight="1">
      <c r="A400" s="43">
        <v>100</v>
      </c>
      <c r="B400" s="43">
        <v>3</v>
      </c>
      <c r="C400" s="43">
        <v>1100</v>
      </c>
      <c r="D400" s="43">
        <v>304.10000000000002</v>
      </c>
      <c r="E400" s="43">
        <f t="shared" si="24"/>
        <v>27.144713700787054</v>
      </c>
      <c r="F400" s="43">
        <f t="shared" si="25"/>
        <v>7.62</v>
      </c>
      <c r="G400" s="43">
        <f t="shared" si="26"/>
        <v>7584.2330079999028</v>
      </c>
      <c r="H400" s="43">
        <f t="shared" si="27"/>
        <v>82.547074364093447</v>
      </c>
      <c r="I400" s="42"/>
    </row>
    <row r="401" spans="1:9" ht="12.75" customHeight="1">
      <c r="A401" s="43">
        <v>100</v>
      </c>
      <c r="B401" s="43">
        <v>3</v>
      </c>
      <c r="C401" s="43">
        <v>1200</v>
      </c>
      <c r="D401" s="43">
        <v>316.20000000000005</v>
      </c>
      <c r="E401" s="43">
        <f t="shared" si="24"/>
        <v>27.144713700787054</v>
      </c>
      <c r="F401" s="43">
        <f t="shared" si="25"/>
        <v>7.62</v>
      </c>
      <c r="G401" s="43">
        <f t="shared" si="26"/>
        <v>8273.708735999895</v>
      </c>
      <c r="H401" s="43">
        <f t="shared" si="27"/>
        <v>85.831584721888674</v>
      </c>
      <c r="I401" s="42"/>
    </row>
    <row r="402" spans="1:9" ht="12.75" customHeight="1">
      <c r="A402" s="43">
        <v>100</v>
      </c>
      <c r="B402" s="43">
        <v>3</v>
      </c>
      <c r="C402" s="43">
        <v>1300</v>
      </c>
      <c r="D402" s="43">
        <v>328.30000000000007</v>
      </c>
      <c r="E402" s="43">
        <f t="shared" si="24"/>
        <v>27.144713700787054</v>
      </c>
      <c r="F402" s="43">
        <f t="shared" si="25"/>
        <v>7.62</v>
      </c>
      <c r="G402" s="43">
        <f t="shared" si="26"/>
        <v>8963.1844639998853</v>
      </c>
      <c r="H402" s="43">
        <f t="shared" si="27"/>
        <v>89.116095079683902</v>
      </c>
      <c r="I402" s="42"/>
    </row>
    <row r="403" spans="1:9" ht="12.75" customHeight="1">
      <c r="A403" s="43">
        <v>100</v>
      </c>
      <c r="B403" s="43">
        <v>3</v>
      </c>
      <c r="C403" s="43">
        <v>1400</v>
      </c>
      <c r="D403" s="43">
        <v>340.40000000000009</v>
      </c>
      <c r="E403" s="43">
        <f t="shared" si="24"/>
        <v>27.144713700787054</v>
      </c>
      <c r="F403" s="43">
        <f t="shared" si="25"/>
        <v>7.62</v>
      </c>
      <c r="G403" s="43">
        <f t="shared" si="26"/>
        <v>9652.6601919998757</v>
      </c>
      <c r="H403" s="43">
        <f t="shared" si="27"/>
        <v>92.400605437479143</v>
      </c>
      <c r="I403" s="42"/>
    </row>
    <row r="404" spans="1:9" ht="12.75" customHeight="1">
      <c r="A404" s="43">
        <v>100</v>
      </c>
      <c r="B404" s="43">
        <v>3</v>
      </c>
      <c r="C404" s="43">
        <v>1500</v>
      </c>
      <c r="D404" s="43">
        <v>352.50000000000011</v>
      </c>
      <c r="E404" s="43">
        <f t="shared" si="24"/>
        <v>27.144713700787054</v>
      </c>
      <c r="F404" s="43">
        <f t="shared" si="25"/>
        <v>7.62</v>
      </c>
      <c r="G404" s="43">
        <f t="shared" si="26"/>
        <v>10342.135919999868</v>
      </c>
      <c r="H404" s="43">
        <f t="shared" si="27"/>
        <v>95.685115795274385</v>
      </c>
      <c r="I404" s="42"/>
    </row>
    <row r="405" spans="1:9" ht="12.75" customHeight="1">
      <c r="A405" s="43">
        <v>100</v>
      </c>
      <c r="B405" s="43">
        <v>3</v>
      </c>
      <c r="C405" s="43">
        <v>1600</v>
      </c>
      <c r="D405" s="43">
        <v>364.60000000000014</v>
      </c>
      <c r="E405" s="43">
        <f t="shared" si="24"/>
        <v>27.144713700787054</v>
      </c>
      <c r="F405" s="43">
        <f t="shared" si="25"/>
        <v>7.62</v>
      </c>
      <c r="G405" s="43">
        <f t="shared" si="26"/>
        <v>11031.611647999858</v>
      </c>
      <c r="H405" s="43">
        <f t="shared" si="27"/>
        <v>98.969626153069626</v>
      </c>
      <c r="I405" s="42"/>
    </row>
    <row r="406" spans="1:9" ht="12.75" customHeight="1">
      <c r="A406" s="43">
        <v>100</v>
      </c>
      <c r="B406" s="43">
        <v>3</v>
      </c>
      <c r="C406" s="43">
        <v>1700</v>
      </c>
      <c r="D406" s="43">
        <v>376.70000000000016</v>
      </c>
      <c r="E406" s="43">
        <f t="shared" si="24"/>
        <v>27.144713700787054</v>
      </c>
      <c r="F406" s="43">
        <f t="shared" si="25"/>
        <v>7.62</v>
      </c>
      <c r="G406" s="43">
        <f t="shared" si="26"/>
        <v>11721.08737599985</v>
      </c>
      <c r="H406" s="43">
        <f t="shared" si="27"/>
        <v>102.25413651086487</v>
      </c>
      <c r="I406" s="42"/>
    </row>
    <row r="407" spans="1:9" ht="12.75" customHeight="1">
      <c r="A407" s="43">
        <v>100</v>
      </c>
      <c r="B407" s="43">
        <v>3</v>
      </c>
      <c r="C407" s="43">
        <v>1800</v>
      </c>
      <c r="D407" s="43">
        <v>388.80000000000018</v>
      </c>
      <c r="E407" s="43">
        <f t="shared" si="24"/>
        <v>27.144713700787054</v>
      </c>
      <c r="F407" s="43">
        <f t="shared" si="25"/>
        <v>7.62</v>
      </c>
      <c r="G407" s="43">
        <f t="shared" si="26"/>
        <v>12410.563103999841</v>
      </c>
      <c r="H407" s="43">
        <f t="shared" si="27"/>
        <v>105.53864686866011</v>
      </c>
      <c r="I407" s="42"/>
    </row>
    <row r="408" spans="1:9" ht="12.75" customHeight="1">
      <c r="A408" s="43">
        <v>100</v>
      </c>
      <c r="B408" s="43">
        <v>3</v>
      </c>
      <c r="C408" s="43">
        <v>1900</v>
      </c>
      <c r="D408" s="43">
        <v>400.9000000000002</v>
      </c>
      <c r="E408" s="43">
        <f t="shared" si="24"/>
        <v>27.144713700787054</v>
      </c>
      <c r="F408" s="43">
        <f t="shared" si="25"/>
        <v>7.62</v>
      </c>
      <c r="G408" s="43">
        <f t="shared" si="26"/>
        <v>13100.038831999833</v>
      </c>
      <c r="H408" s="43">
        <f t="shared" si="27"/>
        <v>108.82315722645535</v>
      </c>
      <c r="I408" s="42"/>
    </row>
    <row r="409" spans="1:9" ht="12.75" customHeight="1">
      <c r="A409" s="43">
        <v>100</v>
      </c>
      <c r="B409" s="43">
        <v>3</v>
      </c>
      <c r="C409" s="43">
        <v>2000</v>
      </c>
      <c r="D409" s="43">
        <v>413</v>
      </c>
      <c r="E409" s="43">
        <f t="shared" si="24"/>
        <v>27.144713700787054</v>
      </c>
      <c r="F409" s="43">
        <f t="shared" si="25"/>
        <v>7.62</v>
      </c>
      <c r="G409" s="43">
        <f t="shared" si="26"/>
        <v>13789.514559999823</v>
      </c>
      <c r="H409" s="43">
        <f t="shared" si="27"/>
        <v>112.10766758425052</v>
      </c>
      <c r="I409" s="42"/>
    </row>
    <row r="410" spans="1:9" ht="12.75" customHeight="1">
      <c r="A410" s="43">
        <v>100</v>
      </c>
      <c r="B410" s="43">
        <v>4</v>
      </c>
      <c r="C410" s="43">
        <v>50</v>
      </c>
      <c r="D410" s="43">
        <v>156</v>
      </c>
      <c r="E410" s="43">
        <f t="shared" si="24"/>
        <v>27.144713700787054</v>
      </c>
      <c r="F410" s="43">
        <f t="shared" si="25"/>
        <v>10.16</v>
      </c>
      <c r="G410" s="43">
        <f t="shared" si="26"/>
        <v>344.73786399999557</v>
      </c>
      <c r="H410" s="43">
        <f t="shared" si="27"/>
        <v>42.345753373227801</v>
      </c>
      <c r="I410" s="42"/>
    </row>
    <row r="411" spans="1:9" ht="12.75" customHeight="1">
      <c r="A411" s="43">
        <v>100</v>
      </c>
      <c r="B411" s="43">
        <v>4</v>
      </c>
      <c r="C411" s="43">
        <v>60</v>
      </c>
      <c r="D411" s="43">
        <v>160</v>
      </c>
      <c r="E411" s="43">
        <f t="shared" si="24"/>
        <v>27.144713700787054</v>
      </c>
      <c r="F411" s="43">
        <f t="shared" si="25"/>
        <v>10.16</v>
      </c>
      <c r="G411" s="43">
        <f t="shared" si="26"/>
        <v>413.6854367999947</v>
      </c>
      <c r="H411" s="43">
        <f t="shared" si="27"/>
        <v>43.431541921259281</v>
      </c>
      <c r="I411" s="42"/>
    </row>
    <row r="412" spans="1:9" ht="12.75" customHeight="1">
      <c r="A412" s="43">
        <v>100</v>
      </c>
      <c r="B412" s="43">
        <v>4</v>
      </c>
      <c r="C412" s="43">
        <v>70</v>
      </c>
      <c r="D412" s="43">
        <v>164</v>
      </c>
      <c r="E412" s="43">
        <f t="shared" si="24"/>
        <v>27.144713700787054</v>
      </c>
      <c r="F412" s="43">
        <f t="shared" si="25"/>
        <v>10.16</v>
      </c>
      <c r="G412" s="43">
        <f t="shared" si="26"/>
        <v>482.63300959999384</v>
      </c>
      <c r="H412" s="43">
        <f t="shared" si="27"/>
        <v>44.517330469290769</v>
      </c>
      <c r="I412" s="42"/>
    </row>
    <row r="413" spans="1:9" ht="12.75" customHeight="1">
      <c r="A413" s="43">
        <v>100</v>
      </c>
      <c r="B413" s="43">
        <v>4</v>
      </c>
      <c r="C413" s="43">
        <v>80</v>
      </c>
      <c r="D413" s="43">
        <v>168</v>
      </c>
      <c r="E413" s="43">
        <f t="shared" si="24"/>
        <v>27.144713700787054</v>
      </c>
      <c r="F413" s="43">
        <f t="shared" si="25"/>
        <v>10.16</v>
      </c>
      <c r="G413" s="43">
        <f t="shared" si="26"/>
        <v>551.58058239999298</v>
      </c>
      <c r="H413" s="43">
        <f t="shared" si="27"/>
        <v>45.60311901732225</v>
      </c>
      <c r="I413" s="42"/>
    </row>
    <row r="414" spans="1:9" ht="12.75" customHeight="1">
      <c r="A414" s="43">
        <v>100</v>
      </c>
      <c r="B414" s="43">
        <v>4</v>
      </c>
      <c r="C414" s="43">
        <v>90</v>
      </c>
      <c r="D414" s="43">
        <v>172</v>
      </c>
      <c r="E414" s="43">
        <f t="shared" si="24"/>
        <v>27.144713700787054</v>
      </c>
      <c r="F414" s="43">
        <f t="shared" si="25"/>
        <v>10.16</v>
      </c>
      <c r="G414" s="43">
        <f t="shared" si="26"/>
        <v>620.52815519999206</v>
      </c>
      <c r="H414" s="43">
        <f t="shared" si="27"/>
        <v>46.68890756535373</v>
      </c>
      <c r="I414" s="42"/>
    </row>
    <row r="415" spans="1:9" ht="12.75" customHeight="1">
      <c r="A415" s="43">
        <v>100</v>
      </c>
      <c r="B415" s="43">
        <v>4</v>
      </c>
      <c r="C415" s="43">
        <v>100</v>
      </c>
      <c r="D415" s="43">
        <v>176</v>
      </c>
      <c r="E415" s="43">
        <f t="shared" si="24"/>
        <v>27.144713700787054</v>
      </c>
      <c r="F415" s="43">
        <f t="shared" si="25"/>
        <v>10.16</v>
      </c>
      <c r="G415" s="43">
        <f t="shared" si="26"/>
        <v>689.47572799999114</v>
      </c>
      <c r="H415" s="43">
        <f t="shared" si="27"/>
        <v>47.774696113385211</v>
      </c>
      <c r="I415" s="42"/>
    </row>
    <row r="416" spans="1:9" ht="12.75" customHeight="1">
      <c r="A416" s="43">
        <v>100</v>
      </c>
      <c r="B416" s="43">
        <v>4</v>
      </c>
      <c r="C416" s="43">
        <v>150</v>
      </c>
      <c r="D416" s="43">
        <v>191.5</v>
      </c>
      <c r="E416" s="43">
        <f t="shared" si="24"/>
        <v>27.144713700787054</v>
      </c>
      <c r="F416" s="43">
        <f t="shared" si="25"/>
        <v>10.16</v>
      </c>
      <c r="G416" s="43">
        <f t="shared" si="26"/>
        <v>1034.2135919999869</v>
      </c>
      <c r="H416" s="43">
        <f t="shared" si="27"/>
        <v>51.982126737007206</v>
      </c>
      <c r="I416" s="42"/>
    </row>
    <row r="417" spans="1:9" ht="12.75" customHeight="1">
      <c r="A417" s="43">
        <v>100</v>
      </c>
      <c r="B417" s="43">
        <v>4</v>
      </c>
      <c r="C417" s="43">
        <v>200</v>
      </c>
      <c r="D417" s="43">
        <v>207</v>
      </c>
      <c r="E417" s="43">
        <f t="shared" si="24"/>
        <v>27.144713700787054</v>
      </c>
      <c r="F417" s="43">
        <f t="shared" si="25"/>
        <v>10.16</v>
      </c>
      <c r="G417" s="43">
        <f t="shared" si="26"/>
        <v>1378.9514559999823</v>
      </c>
      <c r="H417" s="43">
        <f t="shared" si="27"/>
        <v>56.189557360629195</v>
      </c>
      <c r="I417" s="42"/>
    </row>
    <row r="418" spans="1:9" ht="12.75" customHeight="1">
      <c r="A418" s="43">
        <v>100</v>
      </c>
      <c r="B418" s="43">
        <v>4</v>
      </c>
      <c r="C418" s="43">
        <v>250</v>
      </c>
      <c r="D418" s="43">
        <v>222.5</v>
      </c>
      <c r="E418" s="43">
        <f t="shared" si="24"/>
        <v>27.144713700787054</v>
      </c>
      <c r="F418" s="43">
        <f t="shared" si="25"/>
        <v>10.16</v>
      </c>
      <c r="G418" s="43">
        <f t="shared" si="26"/>
        <v>1723.6893199999779</v>
      </c>
      <c r="H418" s="43">
        <f t="shared" si="27"/>
        <v>60.39698798425119</v>
      </c>
      <c r="I418" s="42"/>
    </row>
    <row r="419" spans="1:9" ht="12.75" customHeight="1">
      <c r="A419" s="43">
        <v>100</v>
      </c>
      <c r="B419" s="43">
        <v>4</v>
      </c>
      <c r="C419" s="43">
        <v>300</v>
      </c>
      <c r="D419" s="43">
        <v>238</v>
      </c>
      <c r="E419" s="43">
        <f t="shared" si="24"/>
        <v>27.144713700787054</v>
      </c>
      <c r="F419" s="43">
        <f t="shared" si="25"/>
        <v>10.16</v>
      </c>
      <c r="G419" s="43">
        <f t="shared" si="26"/>
        <v>2068.4271839999737</v>
      </c>
      <c r="H419" s="43">
        <f t="shared" si="27"/>
        <v>64.604418607873185</v>
      </c>
      <c r="I419" s="42"/>
    </row>
    <row r="420" spans="1:9" ht="12.75" customHeight="1">
      <c r="A420" s="43">
        <v>100</v>
      </c>
      <c r="B420" s="43">
        <v>4</v>
      </c>
      <c r="C420" s="43">
        <v>350</v>
      </c>
      <c r="D420" s="43">
        <v>251.75</v>
      </c>
      <c r="E420" s="43">
        <f t="shared" si="24"/>
        <v>27.144713700787054</v>
      </c>
      <c r="F420" s="43">
        <f t="shared" si="25"/>
        <v>10.16</v>
      </c>
      <c r="G420" s="43">
        <f t="shared" si="26"/>
        <v>2413.1650479999689</v>
      </c>
      <c r="H420" s="43">
        <f t="shared" si="27"/>
        <v>68.336816741731397</v>
      </c>
      <c r="I420" s="42"/>
    </row>
    <row r="421" spans="1:9" ht="12.75" customHeight="1">
      <c r="A421" s="43">
        <v>100</v>
      </c>
      <c r="B421" s="43">
        <v>4</v>
      </c>
      <c r="C421" s="43">
        <v>400</v>
      </c>
      <c r="D421" s="43">
        <v>265.5</v>
      </c>
      <c r="E421" s="43">
        <f t="shared" si="24"/>
        <v>27.144713700787054</v>
      </c>
      <c r="F421" s="43">
        <f t="shared" si="25"/>
        <v>10.16</v>
      </c>
      <c r="G421" s="43">
        <f t="shared" si="26"/>
        <v>2757.9029119999645</v>
      </c>
      <c r="H421" s="43">
        <f t="shared" si="27"/>
        <v>72.069214875589623</v>
      </c>
      <c r="I421" s="42"/>
    </row>
    <row r="422" spans="1:9" ht="12.75" customHeight="1">
      <c r="A422" s="43">
        <v>100</v>
      </c>
      <c r="B422" s="43">
        <v>4</v>
      </c>
      <c r="C422" s="43">
        <v>450</v>
      </c>
      <c r="D422" s="43">
        <v>279.25</v>
      </c>
      <c r="E422" s="43">
        <f t="shared" si="24"/>
        <v>27.144713700787054</v>
      </c>
      <c r="F422" s="43">
        <f t="shared" si="25"/>
        <v>10.16</v>
      </c>
      <c r="G422" s="43">
        <f t="shared" si="26"/>
        <v>3102.6407759999602</v>
      </c>
      <c r="H422" s="43">
        <f t="shared" si="27"/>
        <v>75.801613009447848</v>
      </c>
      <c r="I422" s="42"/>
    </row>
    <row r="423" spans="1:9" ht="12.75" customHeight="1">
      <c r="A423" s="43">
        <v>100</v>
      </c>
      <c r="B423" s="43">
        <v>4</v>
      </c>
      <c r="C423" s="43">
        <v>500</v>
      </c>
      <c r="D423" s="43">
        <v>293</v>
      </c>
      <c r="E423" s="43">
        <f t="shared" si="24"/>
        <v>27.144713700787054</v>
      </c>
      <c r="F423" s="43">
        <f t="shared" si="25"/>
        <v>10.16</v>
      </c>
      <c r="G423" s="43">
        <f t="shared" si="26"/>
        <v>3447.3786399999558</v>
      </c>
      <c r="H423" s="43">
        <f t="shared" si="27"/>
        <v>79.534011143306074</v>
      </c>
      <c r="I423" s="42"/>
    </row>
    <row r="424" spans="1:9" ht="12.75" customHeight="1">
      <c r="A424" s="43">
        <v>100</v>
      </c>
      <c r="B424" s="43">
        <v>4</v>
      </c>
      <c r="C424" s="43">
        <v>550</v>
      </c>
      <c r="D424" s="43">
        <v>305.7</v>
      </c>
      <c r="E424" s="43">
        <f t="shared" si="24"/>
        <v>27.144713700787054</v>
      </c>
      <c r="F424" s="43">
        <f t="shared" si="25"/>
        <v>10.16</v>
      </c>
      <c r="G424" s="43">
        <f t="shared" si="26"/>
        <v>3792.1165039999514</v>
      </c>
      <c r="H424" s="43">
        <f t="shared" si="27"/>
        <v>82.981389783306014</v>
      </c>
      <c r="I424" s="42"/>
    </row>
    <row r="425" spans="1:9" ht="12.75" customHeight="1">
      <c r="A425" s="43">
        <v>100</v>
      </c>
      <c r="B425" s="43">
        <v>4</v>
      </c>
      <c r="C425" s="43">
        <v>600</v>
      </c>
      <c r="D425" s="43">
        <v>318.39999999999998</v>
      </c>
      <c r="E425" s="43">
        <f t="shared" si="24"/>
        <v>27.144713700787054</v>
      </c>
      <c r="F425" s="43">
        <f t="shared" si="25"/>
        <v>10.16</v>
      </c>
      <c r="G425" s="43">
        <f t="shared" si="26"/>
        <v>4136.8543679999475</v>
      </c>
      <c r="H425" s="43">
        <f t="shared" si="27"/>
        <v>86.428768423305968</v>
      </c>
      <c r="I425" s="42"/>
    </row>
    <row r="426" spans="1:9" ht="12.75" customHeight="1">
      <c r="A426" s="43">
        <v>100</v>
      </c>
      <c r="B426" s="43">
        <v>4</v>
      </c>
      <c r="C426" s="43">
        <v>650</v>
      </c>
      <c r="D426" s="43">
        <v>331.09999999999997</v>
      </c>
      <c r="E426" s="43">
        <f t="shared" si="24"/>
        <v>27.144713700787054</v>
      </c>
      <c r="F426" s="43">
        <f t="shared" si="25"/>
        <v>10.16</v>
      </c>
      <c r="G426" s="43">
        <f t="shared" si="26"/>
        <v>4481.5922319999427</v>
      </c>
      <c r="H426" s="43">
        <f t="shared" si="27"/>
        <v>89.876147063305936</v>
      </c>
      <c r="I426" s="42"/>
    </row>
    <row r="427" spans="1:9" ht="12.75" customHeight="1">
      <c r="A427" s="43">
        <v>100</v>
      </c>
      <c r="B427" s="43">
        <v>4</v>
      </c>
      <c r="C427" s="43">
        <v>700</v>
      </c>
      <c r="D427" s="43">
        <v>343.79999999999995</v>
      </c>
      <c r="E427" s="43">
        <f t="shared" si="24"/>
        <v>27.144713700787054</v>
      </c>
      <c r="F427" s="43">
        <f t="shared" si="25"/>
        <v>10.16</v>
      </c>
      <c r="G427" s="43">
        <f t="shared" si="26"/>
        <v>4826.3300959999378</v>
      </c>
      <c r="H427" s="43">
        <f t="shared" si="27"/>
        <v>93.323525703305876</v>
      </c>
      <c r="I427" s="42"/>
    </row>
    <row r="428" spans="1:9" ht="12.75" customHeight="1">
      <c r="A428" s="43">
        <v>100</v>
      </c>
      <c r="B428" s="43">
        <v>4</v>
      </c>
      <c r="C428" s="43">
        <v>750</v>
      </c>
      <c r="D428" s="43">
        <v>356.49999999999994</v>
      </c>
      <c r="E428" s="43">
        <f t="shared" si="24"/>
        <v>27.144713700787054</v>
      </c>
      <c r="F428" s="43">
        <f t="shared" si="25"/>
        <v>10.16</v>
      </c>
      <c r="G428" s="43">
        <f t="shared" si="26"/>
        <v>5171.0679599999339</v>
      </c>
      <c r="H428" s="43">
        <f t="shared" si="27"/>
        <v>96.77090434330583</v>
      </c>
      <c r="I428" s="42"/>
    </row>
    <row r="429" spans="1:9" ht="12.75" customHeight="1">
      <c r="A429" s="43">
        <v>100</v>
      </c>
      <c r="B429" s="43">
        <v>4</v>
      </c>
      <c r="C429" s="43">
        <v>800</v>
      </c>
      <c r="D429" s="43">
        <v>369.19999999999993</v>
      </c>
      <c r="E429" s="43">
        <f t="shared" si="24"/>
        <v>27.144713700787054</v>
      </c>
      <c r="F429" s="43">
        <f t="shared" si="25"/>
        <v>10.16</v>
      </c>
      <c r="G429" s="43">
        <f t="shared" si="26"/>
        <v>5515.8058239999291</v>
      </c>
      <c r="H429" s="43">
        <f t="shared" si="27"/>
        <v>100.21828298330578</v>
      </c>
      <c r="I429" s="42"/>
    </row>
    <row r="430" spans="1:9" ht="12.75" customHeight="1">
      <c r="A430" s="43">
        <v>100</v>
      </c>
      <c r="B430" s="43">
        <v>4</v>
      </c>
      <c r="C430" s="43">
        <v>850</v>
      </c>
      <c r="D430" s="43">
        <v>381.89999999999992</v>
      </c>
      <c r="E430" s="43">
        <f t="shared" si="24"/>
        <v>27.144713700787054</v>
      </c>
      <c r="F430" s="43">
        <f t="shared" si="25"/>
        <v>10.16</v>
      </c>
      <c r="G430" s="43">
        <f t="shared" si="26"/>
        <v>5860.5436879999252</v>
      </c>
      <c r="H430" s="43">
        <f t="shared" si="27"/>
        <v>103.66566162330572</v>
      </c>
      <c r="I430" s="42"/>
    </row>
    <row r="431" spans="1:9" ht="12.75" customHeight="1">
      <c r="A431" s="43">
        <v>100</v>
      </c>
      <c r="B431" s="43">
        <v>4</v>
      </c>
      <c r="C431" s="43">
        <v>900</v>
      </c>
      <c r="D431" s="43">
        <v>394.59999999999991</v>
      </c>
      <c r="E431" s="43">
        <f t="shared" si="24"/>
        <v>27.144713700787054</v>
      </c>
      <c r="F431" s="43">
        <f t="shared" si="25"/>
        <v>10.16</v>
      </c>
      <c r="G431" s="43">
        <f t="shared" si="26"/>
        <v>6205.2815519999203</v>
      </c>
      <c r="H431" s="43">
        <f t="shared" si="27"/>
        <v>107.11304026330569</v>
      </c>
      <c r="I431" s="42"/>
    </row>
    <row r="432" spans="1:9" ht="12.75" customHeight="1">
      <c r="A432" s="43">
        <v>100</v>
      </c>
      <c r="B432" s="43">
        <v>4</v>
      </c>
      <c r="C432" s="43">
        <v>950</v>
      </c>
      <c r="D432" s="43">
        <v>407.2999999999999</v>
      </c>
      <c r="E432" s="43">
        <f t="shared" si="24"/>
        <v>27.144713700787054</v>
      </c>
      <c r="F432" s="43">
        <f t="shared" si="25"/>
        <v>10.16</v>
      </c>
      <c r="G432" s="43">
        <f t="shared" si="26"/>
        <v>6550.0194159999164</v>
      </c>
      <c r="H432" s="43">
        <f t="shared" si="27"/>
        <v>110.56041890330565</v>
      </c>
      <c r="I432" s="42"/>
    </row>
    <row r="433" spans="1:9" ht="12.75" customHeight="1">
      <c r="A433" s="43">
        <v>100</v>
      </c>
      <c r="B433" s="43">
        <v>4</v>
      </c>
      <c r="C433" s="43">
        <v>1000</v>
      </c>
      <c r="D433" s="43">
        <v>420</v>
      </c>
      <c r="E433" s="43">
        <f t="shared" si="24"/>
        <v>27.144713700787054</v>
      </c>
      <c r="F433" s="43">
        <f t="shared" si="25"/>
        <v>10.16</v>
      </c>
      <c r="G433" s="43">
        <f t="shared" si="26"/>
        <v>6894.7572799999116</v>
      </c>
      <c r="H433" s="43">
        <f t="shared" si="27"/>
        <v>114.00779754330563</v>
      </c>
      <c r="I433" s="42"/>
    </row>
    <row r="434" spans="1:9" ht="12.75" customHeight="1">
      <c r="A434" s="43">
        <v>100</v>
      </c>
      <c r="B434" s="43">
        <v>4</v>
      </c>
      <c r="C434" s="43">
        <v>1100</v>
      </c>
      <c r="D434" s="43">
        <v>442.1</v>
      </c>
      <c r="E434" s="43">
        <f t="shared" si="24"/>
        <v>27.144713700787054</v>
      </c>
      <c r="F434" s="43">
        <f t="shared" si="25"/>
        <v>10.16</v>
      </c>
      <c r="G434" s="43">
        <f t="shared" si="26"/>
        <v>7584.2330079999028</v>
      </c>
      <c r="H434" s="43">
        <f t="shared" si="27"/>
        <v>120.00677927117957</v>
      </c>
      <c r="I434" s="42"/>
    </row>
    <row r="435" spans="1:9" ht="12.75" customHeight="1">
      <c r="A435" s="43">
        <v>100</v>
      </c>
      <c r="B435" s="43">
        <v>4</v>
      </c>
      <c r="C435" s="43">
        <v>1200</v>
      </c>
      <c r="D435" s="43">
        <v>464.20000000000005</v>
      </c>
      <c r="E435" s="43">
        <f t="shared" si="24"/>
        <v>27.144713700787054</v>
      </c>
      <c r="F435" s="43">
        <f t="shared" si="25"/>
        <v>10.16</v>
      </c>
      <c r="G435" s="43">
        <f t="shared" si="26"/>
        <v>8273.708735999895</v>
      </c>
      <c r="H435" s="43">
        <f t="shared" si="27"/>
        <v>126.00576099905351</v>
      </c>
      <c r="I435" s="42"/>
    </row>
    <row r="436" spans="1:9" ht="12.75" customHeight="1">
      <c r="A436" s="43">
        <v>100</v>
      </c>
      <c r="B436" s="43">
        <v>4</v>
      </c>
      <c r="C436" s="43">
        <v>1300</v>
      </c>
      <c r="D436" s="43">
        <v>486.30000000000007</v>
      </c>
      <c r="E436" s="43">
        <f t="shared" si="24"/>
        <v>27.144713700787054</v>
      </c>
      <c r="F436" s="43">
        <f t="shared" si="25"/>
        <v>10.16</v>
      </c>
      <c r="G436" s="43">
        <f t="shared" si="26"/>
        <v>8963.1844639998853</v>
      </c>
      <c r="H436" s="43">
        <f t="shared" si="27"/>
        <v>132.00474272692745</v>
      </c>
      <c r="I436" s="42"/>
    </row>
    <row r="437" spans="1:9" ht="12.75" customHeight="1">
      <c r="A437" s="43">
        <v>100</v>
      </c>
      <c r="B437" s="43">
        <v>4</v>
      </c>
      <c r="C437" s="43">
        <v>1400</v>
      </c>
      <c r="D437" s="43">
        <v>508.40000000000009</v>
      </c>
      <c r="E437" s="43">
        <f t="shared" si="24"/>
        <v>27.144713700787054</v>
      </c>
      <c r="F437" s="43">
        <f t="shared" si="25"/>
        <v>10.16</v>
      </c>
      <c r="G437" s="43">
        <f t="shared" si="26"/>
        <v>9652.6601919998757</v>
      </c>
      <c r="H437" s="43">
        <f t="shared" si="27"/>
        <v>138.00372445480141</v>
      </c>
      <c r="I437" s="42"/>
    </row>
    <row r="438" spans="1:9" ht="12.75" customHeight="1">
      <c r="A438" s="43">
        <v>100</v>
      </c>
      <c r="B438" s="43">
        <v>4</v>
      </c>
      <c r="C438" s="43">
        <v>1500</v>
      </c>
      <c r="D438" s="43">
        <v>530.50000000000011</v>
      </c>
      <c r="E438" s="43">
        <f t="shared" si="24"/>
        <v>27.144713700787054</v>
      </c>
      <c r="F438" s="43">
        <f t="shared" si="25"/>
        <v>10.16</v>
      </c>
      <c r="G438" s="43">
        <f t="shared" si="26"/>
        <v>10342.135919999868</v>
      </c>
      <c r="H438" s="43">
        <f t="shared" si="27"/>
        <v>144.00270618267535</v>
      </c>
      <c r="I438" s="42"/>
    </row>
    <row r="439" spans="1:9" ht="12.75" customHeight="1">
      <c r="A439" s="43">
        <v>100</v>
      </c>
      <c r="B439" s="43">
        <v>4</v>
      </c>
      <c r="C439" s="43">
        <v>1600</v>
      </c>
      <c r="D439" s="43">
        <v>552.60000000000014</v>
      </c>
      <c r="E439" s="43">
        <f t="shared" si="24"/>
        <v>27.144713700787054</v>
      </c>
      <c r="F439" s="43">
        <f t="shared" si="25"/>
        <v>10.16</v>
      </c>
      <c r="G439" s="43">
        <f t="shared" si="26"/>
        <v>11031.611647999858</v>
      </c>
      <c r="H439" s="43">
        <f t="shared" si="27"/>
        <v>150.00168791054929</v>
      </c>
      <c r="I439" s="42"/>
    </row>
    <row r="440" spans="1:9" ht="12.75" customHeight="1">
      <c r="A440" s="43">
        <v>100</v>
      </c>
      <c r="B440" s="43">
        <v>4</v>
      </c>
      <c r="C440" s="43">
        <v>1700</v>
      </c>
      <c r="D440" s="43">
        <v>574.70000000000016</v>
      </c>
      <c r="E440" s="43">
        <f t="shared" si="24"/>
        <v>27.144713700787054</v>
      </c>
      <c r="F440" s="43">
        <f t="shared" si="25"/>
        <v>10.16</v>
      </c>
      <c r="G440" s="43">
        <f t="shared" si="26"/>
        <v>11721.08737599985</v>
      </c>
      <c r="H440" s="43">
        <f t="shared" si="27"/>
        <v>156.00066963842323</v>
      </c>
      <c r="I440" s="42"/>
    </row>
    <row r="441" spans="1:9" ht="12.75" customHeight="1">
      <c r="A441" s="43">
        <v>100</v>
      </c>
      <c r="B441" s="43">
        <v>4</v>
      </c>
      <c r="C441" s="43">
        <v>1800</v>
      </c>
      <c r="D441" s="43">
        <v>596.80000000000018</v>
      </c>
      <c r="E441" s="43">
        <f t="shared" si="24"/>
        <v>27.144713700787054</v>
      </c>
      <c r="F441" s="43">
        <f t="shared" si="25"/>
        <v>10.16</v>
      </c>
      <c r="G441" s="43">
        <f t="shared" si="26"/>
        <v>12410.563103999841</v>
      </c>
      <c r="H441" s="43">
        <f t="shared" si="27"/>
        <v>161.99965136629717</v>
      </c>
      <c r="I441" s="42"/>
    </row>
    <row r="442" spans="1:9" ht="12.75" customHeight="1">
      <c r="A442" s="43">
        <v>100</v>
      </c>
      <c r="B442" s="43">
        <v>4</v>
      </c>
      <c r="C442" s="43">
        <v>1900</v>
      </c>
      <c r="D442" s="43">
        <v>618.9000000000002</v>
      </c>
      <c r="E442" s="43">
        <f t="shared" si="24"/>
        <v>27.144713700787054</v>
      </c>
      <c r="F442" s="43">
        <f t="shared" si="25"/>
        <v>10.16</v>
      </c>
      <c r="G442" s="43">
        <f t="shared" si="26"/>
        <v>13100.038831999833</v>
      </c>
      <c r="H442" s="43">
        <f t="shared" si="27"/>
        <v>167.99863309417114</v>
      </c>
      <c r="I442" s="42"/>
    </row>
    <row r="443" spans="1:9" ht="12.75" customHeight="1">
      <c r="A443" s="43">
        <v>100</v>
      </c>
      <c r="B443" s="43">
        <v>4</v>
      </c>
      <c r="C443" s="43">
        <v>2000</v>
      </c>
      <c r="D443" s="43">
        <v>641</v>
      </c>
      <c r="E443" s="43">
        <f t="shared" si="24"/>
        <v>27.144713700787054</v>
      </c>
      <c r="F443" s="43">
        <f t="shared" si="25"/>
        <v>10.16</v>
      </c>
      <c r="G443" s="43">
        <f t="shared" si="26"/>
        <v>13789.514559999823</v>
      </c>
      <c r="H443" s="43">
        <f t="shared" si="27"/>
        <v>173.99761482204502</v>
      </c>
      <c r="I443" s="42"/>
    </row>
    <row r="444" spans="1:9" ht="12.75" customHeight="1">
      <c r="A444" s="43">
        <v>100</v>
      </c>
      <c r="B444" s="43">
        <v>5</v>
      </c>
      <c r="C444" s="43">
        <v>50</v>
      </c>
      <c r="D444" s="43">
        <v>172</v>
      </c>
      <c r="E444" s="43">
        <f t="shared" si="24"/>
        <v>27.144713700787054</v>
      </c>
      <c r="F444" s="43">
        <f t="shared" si="25"/>
        <v>12.7</v>
      </c>
      <c r="G444" s="43">
        <f t="shared" si="26"/>
        <v>344.73786399999557</v>
      </c>
      <c r="H444" s="43">
        <f t="shared" si="27"/>
        <v>46.68890756535373</v>
      </c>
      <c r="I444" s="42"/>
    </row>
    <row r="445" spans="1:9" ht="12.75" customHeight="1">
      <c r="A445" s="43">
        <v>100</v>
      </c>
      <c r="B445" s="43">
        <v>5</v>
      </c>
      <c r="C445" s="43">
        <v>60</v>
      </c>
      <c r="D445" s="43">
        <v>177.8</v>
      </c>
      <c r="E445" s="43">
        <f t="shared" si="24"/>
        <v>27.144713700787054</v>
      </c>
      <c r="F445" s="43">
        <f t="shared" si="25"/>
        <v>12.7</v>
      </c>
      <c r="G445" s="43">
        <f t="shared" si="26"/>
        <v>413.6854367999947</v>
      </c>
      <c r="H445" s="43">
        <f t="shared" si="27"/>
        <v>48.263300959999384</v>
      </c>
      <c r="I445" s="42"/>
    </row>
    <row r="446" spans="1:9" ht="12.75" customHeight="1">
      <c r="A446" s="43">
        <v>100</v>
      </c>
      <c r="B446" s="43">
        <v>5</v>
      </c>
      <c r="C446" s="43">
        <v>70</v>
      </c>
      <c r="D446" s="43">
        <v>183.60000000000002</v>
      </c>
      <c r="E446" s="43">
        <f t="shared" si="24"/>
        <v>27.144713700787054</v>
      </c>
      <c r="F446" s="43">
        <f t="shared" si="25"/>
        <v>12.7</v>
      </c>
      <c r="G446" s="43">
        <f t="shared" si="26"/>
        <v>482.63300959999384</v>
      </c>
      <c r="H446" s="43">
        <f t="shared" si="27"/>
        <v>49.837694354645038</v>
      </c>
      <c r="I446" s="42"/>
    </row>
    <row r="447" spans="1:9" ht="12.75" customHeight="1">
      <c r="A447" s="43">
        <v>100</v>
      </c>
      <c r="B447" s="43">
        <v>5</v>
      </c>
      <c r="C447" s="43">
        <v>80</v>
      </c>
      <c r="D447" s="43">
        <v>189.40000000000003</v>
      </c>
      <c r="E447" s="43">
        <f t="shared" si="24"/>
        <v>27.144713700787054</v>
      </c>
      <c r="F447" s="43">
        <f t="shared" si="25"/>
        <v>12.7</v>
      </c>
      <c r="G447" s="43">
        <f t="shared" si="26"/>
        <v>551.58058239999298</v>
      </c>
      <c r="H447" s="43">
        <f t="shared" si="27"/>
        <v>51.412087749290684</v>
      </c>
      <c r="I447" s="42"/>
    </row>
    <row r="448" spans="1:9" ht="12.75" customHeight="1">
      <c r="A448" s="43">
        <v>100</v>
      </c>
      <c r="B448" s="43">
        <v>5</v>
      </c>
      <c r="C448" s="43">
        <v>90</v>
      </c>
      <c r="D448" s="43">
        <v>195.20000000000005</v>
      </c>
      <c r="E448" s="43">
        <f t="shared" si="24"/>
        <v>27.144713700787054</v>
      </c>
      <c r="F448" s="43">
        <f t="shared" si="25"/>
        <v>12.7</v>
      </c>
      <c r="G448" s="43">
        <f t="shared" si="26"/>
        <v>620.52815519999206</v>
      </c>
      <c r="H448" s="43">
        <f t="shared" si="27"/>
        <v>52.986481143936345</v>
      </c>
      <c r="I448" s="42"/>
    </row>
    <row r="449" spans="1:9" ht="12.75" customHeight="1">
      <c r="A449" s="43">
        <v>100</v>
      </c>
      <c r="B449" s="43">
        <v>5</v>
      </c>
      <c r="C449" s="43">
        <v>100</v>
      </c>
      <c r="D449" s="43">
        <v>201</v>
      </c>
      <c r="E449" s="43">
        <f t="shared" si="24"/>
        <v>27.144713700787054</v>
      </c>
      <c r="F449" s="43">
        <f t="shared" si="25"/>
        <v>12.7</v>
      </c>
      <c r="G449" s="43">
        <f t="shared" si="26"/>
        <v>689.47572799999114</v>
      </c>
      <c r="H449" s="43">
        <f t="shared" si="27"/>
        <v>54.560874538581977</v>
      </c>
      <c r="I449" s="42"/>
    </row>
    <row r="450" spans="1:9" ht="12.75" customHeight="1">
      <c r="A450" s="43">
        <v>100</v>
      </c>
      <c r="B450" s="43">
        <v>5</v>
      </c>
      <c r="C450" s="43">
        <v>150</v>
      </c>
      <c r="D450" s="43">
        <v>225.5</v>
      </c>
      <c r="E450" s="43">
        <f t="shared" si="24"/>
        <v>27.144713700787054</v>
      </c>
      <c r="F450" s="43">
        <f t="shared" si="25"/>
        <v>12.7</v>
      </c>
      <c r="G450" s="43">
        <f t="shared" si="26"/>
        <v>1034.2135919999869</v>
      </c>
      <c r="H450" s="43">
        <f t="shared" si="27"/>
        <v>61.211329395274802</v>
      </c>
      <c r="I450" s="42"/>
    </row>
    <row r="451" spans="1:9" ht="12.75" customHeight="1">
      <c r="A451" s="43">
        <v>100</v>
      </c>
      <c r="B451" s="43">
        <v>5</v>
      </c>
      <c r="C451" s="43">
        <v>200</v>
      </c>
      <c r="D451" s="43">
        <v>250</v>
      </c>
      <c r="E451" s="43">
        <f t="shared" ref="E451:E514" si="28">A451/145.03773800722/0.0254</f>
        <v>27.144713700787054</v>
      </c>
      <c r="F451" s="43">
        <f t="shared" ref="F451:F514" si="29">B451*2.54</f>
        <v>12.7</v>
      </c>
      <c r="G451" s="43">
        <f t="shared" ref="G451:G514" si="30">C451/0.14503773800722</f>
        <v>1378.9514559999823</v>
      </c>
      <c r="H451" s="43">
        <f t="shared" ref="H451:H514" si="31">D451/145.03773800722/0.0254</f>
        <v>67.861784251967634</v>
      </c>
      <c r="I451" s="42"/>
    </row>
    <row r="452" spans="1:9" ht="12.75" customHeight="1">
      <c r="A452" s="43">
        <v>100</v>
      </c>
      <c r="B452" s="43">
        <v>5</v>
      </c>
      <c r="C452" s="43">
        <v>250</v>
      </c>
      <c r="D452" s="43">
        <v>274.5</v>
      </c>
      <c r="E452" s="43">
        <f t="shared" si="28"/>
        <v>27.144713700787054</v>
      </c>
      <c r="F452" s="43">
        <f t="shared" si="29"/>
        <v>12.7</v>
      </c>
      <c r="G452" s="43">
        <f t="shared" si="30"/>
        <v>1723.6893199999779</v>
      </c>
      <c r="H452" s="43">
        <f t="shared" si="31"/>
        <v>74.512239108660452</v>
      </c>
      <c r="I452" s="42"/>
    </row>
    <row r="453" spans="1:9" ht="12.75" customHeight="1">
      <c r="A453" s="43">
        <v>100</v>
      </c>
      <c r="B453" s="43">
        <v>5</v>
      </c>
      <c r="C453" s="43">
        <v>300</v>
      </c>
      <c r="D453" s="43">
        <v>299</v>
      </c>
      <c r="E453" s="43">
        <f t="shared" si="28"/>
        <v>27.144713700787054</v>
      </c>
      <c r="F453" s="43">
        <f t="shared" si="29"/>
        <v>12.7</v>
      </c>
      <c r="G453" s="43">
        <f t="shared" si="30"/>
        <v>2068.4271839999737</v>
      </c>
      <c r="H453" s="43">
        <f t="shared" si="31"/>
        <v>81.162693965353284</v>
      </c>
      <c r="I453" s="42"/>
    </row>
    <row r="454" spans="1:9" ht="12.75" customHeight="1">
      <c r="A454" s="43">
        <v>100</v>
      </c>
      <c r="B454" s="43">
        <v>5</v>
      </c>
      <c r="C454" s="43">
        <v>350</v>
      </c>
      <c r="D454" s="43">
        <v>321.25</v>
      </c>
      <c r="E454" s="43">
        <f t="shared" si="28"/>
        <v>27.144713700787054</v>
      </c>
      <c r="F454" s="43">
        <f t="shared" si="29"/>
        <v>12.7</v>
      </c>
      <c r="G454" s="43">
        <f t="shared" si="30"/>
        <v>2413.1650479999689</v>
      </c>
      <c r="H454" s="43">
        <f t="shared" si="31"/>
        <v>87.202392763778406</v>
      </c>
      <c r="I454" s="42"/>
    </row>
    <row r="455" spans="1:9" ht="12.75" customHeight="1">
      <c r="A455" s="43">
        <v>100</v>
      </c>
      <c r="B455" s="43">
        <v>5</v>
      </c>
      <c r="C455" s="43">
        <v>400</v>
      </c>
      <c r="D455" s="43">
        <v>343.5</v>
      </c>
      <c r="E455" s="43">
        <f t="shared" si="28"/>
        <v>27.144713700787054</v>
      </c>
      <c r="F455" s="43">
        <f t="shared" si="29"/>
        <v>12.7</v>
      </c>
      <c r="G455" s="43">
        <f t="shared" si="30"/>
        <v>2757.9029119999645</v>
      </c>
      <c r="H455" s="43">
        <f t="shared" si="31"/>
        <v>93.242091562203527</v>
      </c>
      <c r="I455" s="42"/>
    </row>
    <row r="456" spans="1:9" ht="12.75" customHeight="1">
      <c r="A456" s="43">
        <v>100</v>
      </c>
      <c r="B456" s="43">
        <v>5</v>
      </c>
      <c r="C456" s="43">
        <v>450</v>
      </c>
      <c r="D456" s="43">
        <v>365.75</v>
      </c>
      <c r="E456" s="43">
        <f t="shared" si="28"/>
        <v>27.144713700787054</v>
      </c>
      <c r="F456" s="43">
        <f t="shared" si="29"/>
        <v>12.7</v>
      </c>
      <c r="G456" s="43">
        <f t="shared" si="30"/>
        <v>3102.6407759999602</v>
      </c>
      <c r="H456" s="43">
        <f t="shared" si="31"/>
        <v>99.281790360628648</v>
      </c>
      <c r="I456" s="42"/>
    </row>
    <row r="457" spans="1:9" ht="12.75" customHeight="1">
      <c r="A457" s="43">
        <v>100</v>
      </c>
      <c r="B457" s="43">
        <v>5</v>
      </c>
      <c r="C457" s="43">
        <v>500</v>
      </c>
      <c r="D457" s="43">
        <v>388</v>
      </c>
      <c r="E457" s="43">
        <f t="shared" si="28"/>
        <v>27.144713700787054</v>
      </c>
      <c r="F457" s="43">
        <f t="shared" si="29"/>
        <v>12.7</v>
      </c>
      <c r="G457" s="43">
        <f t="shared" si="30"/>
        <v>3447.3786399999558</v>
      </c>
      <c r="H457" s="43">
        <f t="shared" si="31"/>
        <v>105.32148915905375</v>
      </c>
      <c r="I457" s="42"/>
    </row>
    <row r="458" spans="1:9" ht="12.75" customHeight="1">
      <c r="A458" s="43">
        <v>100</v>
      </c>
      <c r="B458" s="43">
        <v>5</v>
      </c>
      <c r="C458" s="43">
        <v>550</v>
      </c>
      <c r="D458" s="43">
        <v>408.4</v>
      </c>
      <c r="E458" s="43">
        <f t="shared" si="28"/>
        <v>27.144713700787054</v>
      </c>
      <c r="F458" s="43">
        <f t="shared" si="29"/>
        <v>12.7</v>
      </c>
      <c r="G458" s="43">
        <f t="shared" si="30"/>
        <v>3792.1165039999514</v>
      </c>
      <c r="H458" s="43">
        <f t="shared" si="31"/>
        <v>110.85901075401432</v>
      </c>
      <c r="I458" s="42"/>
    </row>
    <row r="459" spans="1:9" ht="12.75" customHeight="1">
      <c r="A459" s="43">
        <v>100</v>
      </c>
      <c r="B459" s="43">
        <v>5</v>
      </c>
      <c r="C459" s="43">
        <v>600</v>
      </c>
      <c r="D459" s="43">
        <v>428.79999999999995</v>
      </c>
      <c r="E459" s="43">
        <f t="shared" si="28"/>
        <v>27.144713700787054</v>
      </c>
      <c r="F459" s="43">
        <f t="shared" si="29"/>
        <v>12.7</v>
      </c>
      <c r="G459" s="43">
        <f t="shared" si="30"/>
        <v>4136.8543679999475</v>
      </c>
      <c r="H459" s="43">
        <f t="shared" si="31"/>
        <v>116.39653234897487</v>
      </c>
      <c r="I459" s="42"/>
    </row>
    <row r="460" spans="1:9" ht="12.75" customHeight="1">
      <c r="A460" s="43">
        <v>100</v>
      </c>
      <c r="B460" s="43">
        <v>5</v>
      </c>
      <c r="C460" s="43">
        <v>650</v>
      </c>
      <c r="D460" s="43">
        <v>449.19999999999993</v>
      </c>
      <c r="E460" s="43">
        <f t="shared" si="28"/>
        <v>27.144713700787054</v>
      </c>
      <c r="F460" s="43">
        <f t="shared" si="29"/>
        <v>12.7</v>
      </c>
      <c r="G460" s="43">
        <f t="shared" si="30"/>
        <v>4481.5922319999427</v>
      </c>
      <c r="H460" s="43">
        <f t="shared" si="31"/>
        <v>121.93405394393542</v>
      </c>
      <c r="I460" s="42"/>
    </row>
    <row r="461" spans="1:9" ht="12.75" customHeight="1">
      <c r="A461" s="43">
        <v>100</v>
      </c>
      <c r="B461" s="43">
        <v>5</v>
      </c>
      <c r="C461" s="43">
        <v>700</v>
      </c>
      <c r="D461" s="43">
        <v>469.59999999999991</v>
      </c>
      <c r="E461" s="43">
        <f t="shared" si="28"/>
        <v>27.144713700787054</v>
      </c>
      <c r="F461" s="43">
        <f t="shared" si="29"/>
        <v>12.7</v>
      </c>
      <c r="G461" s="43">
        <f t="shared" si="30"/>
        <v>4826.3300959999378</v>
      </c>
      <c r="H461" s="43">
        <f t="shared" si="31"/>
        <v>127.47157553889596</v>
      </c>
      <c r="I461" s="42"/>
    </row>
    <row r="462" spans="1:9" ht="12.75" customHeight="1">
      <c r="A462" s="43">
        <v>100</v>
      </c>
      <c r="B462" s="43">
        <v>5</v>
      </c>
      <c r="C462" s="43">
        <v>750</v>
      </c>
      <c r="D462" s="43">
        <v>489.99999999999989</v>
      </c>
      <c r="E462" s="43">
        <f t="shared" si="28"/>
        <v>27.144713700787054</v>
      </c>
      <c r="F462" s="43">
        <f t="shared" si="29"/>
        <v>12.7</v>
      </c>
      <c r="G462" s="43">
        <f t="shared" si="30"/>
        <v>5171.0679599999339</v>
      </c>
      <c r="H462" s="43">
        <f t="shared" si="31"/>
        <v>133.00909713385653</v>
      </c>
      <c r="I462" s="42"/>
    </row>
    <row r="463" spans="1:9" ht="12.75" customHeight="1">
      <c r="A463" s="43">
        <v>100</v>
      </c>
      <c r="B463" s="43">
        <v>5</v>
      </c>
      <c r="C463" s="43">
        <v>800</v>
      </c>
      <c r="D463" s="43">
        <v>510.39999999999986</v>
      </c>
      <c r="E463" s="43">
        <f t="shared" si="28"/>
        <v>27.144713700787054</v>
      </c>
      <c r="F463" s="43">
        <f t="shared" si="29"/>
        <v>12.7</v>
      </c>
      <c r="G463" s="43">
        <f t="shared" si="30"/>
        <v>5515.8058239999291</v>
      </c>
      <c r="H463" s="43">
        <f t="shared" si="31"/>
        <v>138.54661872881707</v>
      </c>
      <c r="I463" s="42"/>
    </row>
    <row r="464" spans="1:9" ht="12.75" customHeight="1">
      <c r="A464" s="43">
        <v>100</v>
      </c>
      <c r="B464" s="43">
        <v>5</v>
      </c>
      <c r="C464" s="43">
        <v>850</v>
      </c>
      <c r="D464" s="43">
        <v>530.79999999999984</v>
      </c>
      <c r="E464" s="43">
        <f t="shared" si="28"/>
        <v>27.144713700787054</v>
      </c>
      <c r="F464" s="43">
        <f t="shared" si="29"/>
        <v>12.7</v>
      </c>
      <c r="G464" s="43">
        <f t="shared" si="30"/>
        <v>5860.5436879999252</v>
      </c>
      <c r="H464" s="43">
        <f t="shared" si="31"/>
        <v>144.08414032377763</v>
      </c>
      <c r="I464" s="42"/>
    </row>
    <row r="465" spans="1:9" ht="12.75" customHeight="1">
      <c r="A465" s="43">
        <v>100</v>
      </c>
      <c r="B465" s="43">
        <v>5</v>
      </c>
      <c r="C465" s="43">
        <v>900</v>
      </c>
      <c r="D465" s="43">
        <v>551.19999999999982</v>
      </c>
      <c r="E465" s="43">
        <f t="shared" si="28"/>
        <v>27.144713700787054</v>
      </c>
      <c r="F465" s="43">
        <f t="shared" si="29"/>
        <v>12.7</v>
      </c>
      <c r="G465" s="43">
        <f t="shared" si="30"/>
        <v>6205.2815519999203</v>
      </c>
      <c r="H465" s="43">
        <f t="shared" si="31"/>
        <v>149.6216619187382</v>
      </c>
      <c r="I465" s="42"/>
    </row>
    <row r="466" spans="1:9" ht="12.75" customHeight="1">
      <c r="A466" s="43">
        <v>100</v>
      </c>
      <c r="B466" s="43">
        <v>5</v>
      </c>
      <c r="C466" s="43">
        <v>950</v>
      </c>
      <c r="D466" s="43">
        <v>571.5999999999998</v>
      </c>
      <c r="E466" s="43">
        <f t="shared" si="28"/>
        <v>27.144713700787054</v>
      </c>
      <c r="F466" s="43">
        <f t="shared" si="29"/>
        <v>12.7</v>
      </c>
      <c r="G466" s="43">
        <f t="shared" si="30"/>
        <v>6550.0194159999164</v>
      </c>
      <c r="H466" s="43">
        <f t="shared" si="31"/>
        <v>155.15918351369874</v>
      </c>
      <c r="I466" s="42"/>
    </row>
    <row r="467" spans="1:9" ht="12.75" customHeight="1">
      <c r="A467" s="43">
        <v>100</v>
      </c>
      <c r="B467" s="43">
        <v>5</v>
      </c>
      <c r="C467" s="43">
        <v>1000</v>
      </c>
      <c r="D467" s="43">
        <v>592</v>
      </c>
      <c r="E467" s="43">
        <f t="shared" si="28"/>
        <v>27.144713700787054</v>
      </c>
      <c r="F467" s="43">
        <f t="shared" si="29"/>
        <v>12.7</v>
      </c>
      <c r="G467" s="43">
        <f t="shared" si="30"/>
        <v>6894.7572799999116</v>
      </c>
      <c r="H467" s="43">
        <f t="shared" si="31"/>
        <v>160.69670510865936</v>
      </c>
      <c r="I467" s="42"/>
    </row>
    <row r="468" spans="1:9" ht="12.75" customHeight="1">
      <c r="A468" s="43">
        <v>100</v>
      </c>
      <c r="B468" s="43">
        <v>5</v>
      </c>
      <c r="C468" s="43">
        <v>1100</v>
      </c>
      <c r="D468" s="43">
        <v>627.70000000000005</v>
      </c>
      <c r="E468" s="43">
        <f t="shared" si="28"/>
        <v>27.144713700787054</v>
      </c>
      <c r="F468" s="43">
        <f t="shared" si="29"/>
        <v>12.7</v>
      </c>
      <c r="G468" s="43">
        <f t="shared" si="30"/>
        <v>7584.2330079999028</v>
      </c>
      <c r="H468" s="43">
        <f t="shared" si="31"/>
        <v>170.38736789984037</v>
      </c>
      <c r="I468" s="42"/>
    </row>
    <row r="469" spans="1:9" ht="12.75" customHeight="1">
      <c r="A469" s="43">
        <v>100</v>
      </c>
      <c r="B469" s="43">
        <v>5</v>
      </c>
      <c r="C469" s="43">
        <v>1200</v>
      </c>
      <c r="D469" s="43">
        <v>663.40000000000009</v>
      </c>
      <c r="E469" s="43">
        <f t="shared" si="28"/>
        <v>27.144713700787054</v>
      </c>
      <c r="F469" s="43">
        <f t="shared" si="29"/>
        <v>12.7</v>
      </c>
      <c r="G469" s="43">
        <f t="shared" si="30"/>
        <v>8273.708735999895</v>
      </c>
      <c r="H469" s="43">
        <f t="shared" si="31"/>
        <v>180.07803069102133</v>
      </c>
      <c r="I469" s="42"/>
    </row>
    <row r="470" spans="1:9" ht="12.75" customHeight="1">
      <c r="A470" s="43">
        <v>100</v>
      </c>
      <c r="B470" s="43">
        <v>5</v>
      </c>
      <c r="C470" s="43">
        <v>1300</v>
      </c>
      <c r="D470" s="43">
        <v>699.10000000000014</v>
      </c>
      <c r="E470" s="43">
        <f t="shared" si="28"/>
        <v>27.144713700787054</v>
      </c>
      <c r="F470" s="43">
        <f t="shared" si="29"/>
        <v>12.7</v>
      </c>
      <c r="G470" s="43">
        <f t="shared" si="30"/>
        <v>8963.1844639998853</v>
      </c>
      <c r="H470" s="43">
        <f t="shared" si="31"/>
        <v>189.76869348220234</v>
      </c>
      <c r="I470" s="42"/>
    </row>
    <row r="471" spans="1:9" ht="12.75" customHeight="1">
      <c r="A471" s="43">
        <v>100</v>
      </c>
      <c r="B471" s="43">
        <v>5</v>
      </c>
      <c r="C471" s="43">
        <v>1400</v>
      </c>
      <c r="D471" s="43">
        <v>734.80000000000018</v>
      </c>
      <c r="E471" s="43">
        <f t="shared" si="28"/>
        <v>27.144713700787054</v>
      </c>
      <c r="F471" s="43">
        <f t="shared" si="29"/>
        <v>12.7</v>
      </c>
      <c r="G471" s="43">
        <f t="shared" si="30"/>
        <v>9652.6601919998757</v>
      </c>
      <c r="H471" s="43">
        <f t="shared" si="31"/>
        <v>199.45935627338332</v>
      </c>
      <c r="I471" s="42"/>
    </row>
    <row r="472" spans="1:9" ht="12.75" customHeight="1">
      <c r="A472" s="43">
        <v>100</v>
      </c>
      <c r="B472" s="43">
        <v>5</v>
      </c>
      <c r="C472" s="43">
        <v>1500</v>
      </c>
      <c r="D472" s="43">
        <v>770.50000000000023</v>
      </c>
      <c r="E472" s="43">
        <f t="shared" si="28"/>
        <v>27.144713700787054</v>
      </c>
      <c r="F472" s="43">
        <f t="shared" si="29"/>
        <v>12.7</v>
      </c>
      <c r="G472" s="43">
        <f t="shared" si="30"/>
        <v>10342.135919999868</v>
      </c>
      <c r="H472" s="43">
        <f t="shared" si="31"/>
        <v>209.1500190645643</v>
      </c>
      <c r="I472" s="42"/>
    </row>
    <row r="473" spans="1:9" ht="12.75" customHeight="1">
      <c r="A473" s="43">
        <v>100</v>
      </c>
      <c r="B473" s="43">
        <v>5</v>
      </c>
      <c r="C473" s="43">
        <v>1600</v>
      </c>
      <c r="D473" s="43">
        <v>806.20000000000027</v>
      </c>
      <c r="E473" s="43">
        <f t="shared" si="28"/>
        <v>27.144713700787054</v>
      </c>
      <c r="F473" s="43">
        <f t="shared" si="29"/>
        <v>12.7</v>
      </c>
      <c r="G473" s="43">
        <f t="shared" si="30"/>
        <v>11031.611647999858</v>
      </c>
      <c r="H473" s="43">
        <f t="shared" si="31"/>
        <v>218.84068185574529</v>
      </c>
      <c r="I473" s="42"/>
    </row>
    <row r="474" spans="1:9" ht="12.75" customHeight="1">
      <c r="A474" s="43">
        <v>100</v>
      </c>
      <c r="B474" s="43">
        <v>5</v>
      </c>
      <c r="C474" s="43">
        <v>1700</v>
      </c>
      <c r="D474" s="43">
        <v>841.90000000000032</v>
      </c>
      <c r="E474" s="43">
        <f t="shared" si="28"/>
        <v>27.144713700787054</v>
      </c>
      <c r="F474" s="43">
        <f t="shared" si="29"/>
        <v>12.7</v>
      </c>
      <c r="G474" s="43">
        <f t="shared" si="30"/>
        <v>11721.08737599985</v>
      </c>
      <c r="H474" s="43">
        <f t="shared" si="31"/>
        <v>228.5313446469263</v>
      </c>
      <c r="I474" s="42"/>
    </row>
    <row r="475" spans="1:9" ht="12.75" customHeight="1">
      <c r="A475" s="43">
        <v>100</v>
      </c>
      <c r="B475" s="43">
        <v>5</v>
      </c>
      <c r="C475" s="43">
        <v>1800</v>
      </c>
      <c r="D475" s="43">
        <v>877.60000000000036</v>
      </c>
      <c r="E475" s="43">
        <f t="shared" si="28"/>
        <v>27.144713700787054</v>
      </c>
      <c r="F475" s="43">
        <f t="shared" si="29"/>
        <v>12.7</v>
      </c>
      <c r="G475" s="43">
        <f t="shared" si="30"/>
        <v>12410.563103999841</v>
      </c>
      <c r="H475" s="43">
        <f t="shared" si="31"/>
        <v>238.22200743810725</v>
      </c>
      <c r="I475" s="42"/>
    </row>
    <row r="476" spans="1:9" ht="12.75" customHeight="1">
      <c r="A476" s="43">
        <v>100</v>
      </c>
      <c r="B476" s="43">
        <v>5</v>
      </c>
      <c r="C476" s="43">
        <v>1900</v>
      </c>
      <c r="D476" s="43">
        <v>913.30000000000041</v>
      </c>
      <c r="E476" s="43">
        <f t="shared" si="28"/>
        <v>27.144713700787054</v>
      </c>
      <c r="F476" s="43">
        <f t="shared" si="29"/>
        <v>12.7</v>
      </c>
      <c r="G476" s="43">
        <f t="shared" si="30"/>
        <v>13100.038831999833</v>
      </c>
      <c r="H476" s="43">
        <f t="shared" si="31"/>
        <v>247.91267022928827</v>
      </c>
      <c r="I476" s="42"/>
    </row>
    <row r="477" spans="1:9" ht="12.75" customHeight="1">
      <c r="A477" s="43">
        <v>100</v>
      </c>
      <c r="B477" s="43">
        <v>5</v>
      </c>
      <c r="C477" s="43">
        <v>2000</v>
      </c>
      <c r="D477" s="43">
        <v>949</v>
      </c>
      <c r="E477" s="43">
        <f t="shared" si="28"/>
        <v>27.144713700787054</v>
      </c>
      <c r="F477" s="43">
        <f t="shared" si="29"/>
        <v>12.7</v>
      </c>
      <c r="G477" s="43">
        <f t="shared" si="30"/>
        <v>13789.514559999823</v>
      </c>
      <c r="H477" s="43">
        <f t="shared" si="31"/>
        <v>257.60333302046911</v>
      </c>
      <c r="I477" s="42"/>
    </row>
    <row r="478" spans="1:9" ht="12.75" customHeight="1">
      <c r="A478" s="43">
        <v>100</v>
      </c>
      <c r="B478" s="43">
        <v>6</v>
      </c>
      <c r="C478" s="43">
        <v>50</v>
      </c>
      <c r="D478" s="43">
        <v>189</v>
      </c>
      <c r="E478" s="43">
        <f t="shared" si="28"/>
        <v>27.144713700787054</v>
      </c>
      <c r="F478" s="43">
        <f t="shared" si="29"/>
        <v>15.24</v>
      </c>
      <c r="G478" s="43">
        <f t="shared" si="30"/>
        <v>344.73786399999557</v>
      </c>
      <c r="H478" s="43">
        <f t="shared" si="31"/>
        <v>51.303508894487528</v>
      </c>
      <c r="I478" s="42"/>
    </row>
    <row r="479" spans="1:9" ht="12.75" customHeight="1">
      <c r="A479" s="43">
        <v>100</v>
      </c>
      <c r="B479" s="43">
        <v>6</v>
      </c>
      <c r="C479" s="43">
        <v>60</v>
      </c>
      <c r="D479" s="43">
        <v>197.2</v>
      </c>
      <c r="E479" s="43">
        <f t="shared" si="28"/>
        <v>27.144713700787054</v>
      </c>
      <c r="F479" s="43">
        <f t="shared" si="29"/>
        <v>15.24</v>
      </c>
      <c r="G479" s="43">
        <f t="shared" si="30"/>
        <v>413.6854367999947</v>
      </c>
      <c r="H479" s="43">
        <f t="shared" si="31"/>
        <v>53.52937541795206</v>
      </c>
      <c r="I479" s="42"/>
    </row>
    <row r="480" spans="1:9" ht="12.75" customHeight="1">
      <c r="A480" s="43">
        <v>100</v>
      </c>
      <c r="B480" s="43">
        <v>6</v>
      </c>
      <c r="C480" s="43">
        <v>70</v>
      </c>
      <c r="D480" s="43">
        <v>205.39999999999998</v>
      </c>
      <c r="E480" s="43">
        <f t="shared" si="28"/>
        <v>27.144713700787054</v>
      </c>
      <c r="F480" s="43">
        <f t="shared" si="29"/>
        <v>15.24</v>
      </c>
      <c r="G480" s="43">
        <f t="shared" si="30"/>
        <v>482.63300959999384</v>
      </c>
      <c r="H480" s="43">
        <f t="shared" si="31"/>
        <v>55.7552419414166</v>
      </c>
      <c r="I480" s="42"/>
    </row>
    <row r="481" spans="1:9" ht="12.75" customHeight="1">
      <c r="A481" s="43">
        <v>100</v>
      </c>
      <c r="B481" s="43">
        <v>6</v>
      </c>
      <c r="C481" s="43">
        <v>80</v>
      </c>
      <c r="D481" s="43">
        <v>213.59999999999997</v>
      </c>
      <c r="E481" s="43">
        <f t="shared" si="28"/>
        <v>27.144713700787054</v>
      </c>
      <c r="F481" s="43">
        <f t="shared" si="29"/>
        <v>15.24</v>
      </c>
      <c r="G481" s="43">
        <f t="shared" si="30"/>
        <v>551.58058239999298</v>
      </c>
      <c r="H481" s="43">
        <f t="shared" si="31"/>
        <v>57.981108464881132</v>
      </c>
      <c r="I481" s="42"/>
    </row>
    <row r="482" spans="1:9" ht="12.75" customHeight="1">
      <c r="A482" s="43">
        <v>100</v>
      </c>
      <c r="B482" s="43">
        <v>6</v>
      </c>
      <c r="C482" s="43">
        <v>90</v>
      </c>
      <c r="D482" s="43">
        <v>221.79999999999995</v>
      </c>
      <c r="E482" s="43">
        <f t="shared" si="28"/>
        <v>27.144713700787054</v>
      </c>
      <c r="F482" s="43">
        <f t="shared" si="29"/>
        <v>15.24</v>
      </c>
      <c r="G482" s="43">
        <f t="shared" si="30"/>
        <v>620.52815519999206</v>
      </c>
      <c r="H482" s="43">
        <f t="shared" si="31"/>
        <v>60.206974988345664</v>
      </c>
      <c r="I482" s="42"/>
    </row>
    <row r="483" spans="1:9" ht="12.75" customHeight="1">
      <c r="A483" s="43">
        <v>100</v>
      </c>
      <c r="B483" s="43">
        <v>6</v>
      </c>
      <c r="C483" s="43">
        <v>100</v>
      </c>
      <c r="D483" s="43">
        <v>230</v>
      </c>
      <c r="E483" s="43">
        <f t="shared" si="28"/>
        <v>27.144713700787054</v>
      </c>
      <c r="F483" s="43">
        <f t="shared" si="29"/>
        <v>15.24</v>
      </c>
      <c r="G483" s="43">
        <f t="shared" si="30"/>
        <v>689.47572799999114</v>
      </c>
      <c r="H483" s="43">
        <f t="shared" si="31"/>
        <v>62.432841511810217</v>
      </c>
      <c r="I483" s="42"/>
    </row>
    <row r="484" spans="1:9" ht="12.75" customHeight="1">
      <c r="A484" s="43">
        <v>100</v>
      </c>
      <c r="B484" s="43">
        <v>6</v>
      </c>
      <c r="C484" s="43">
        <v>150</v>
      </c>
      <c r="D484" s="43">
        <v>266.25</v>
      </c>
      <c r="E484" s="43">
        <f t="shared" si="28"/>
        <v>27.144713700787054</v>
      </c>
      <c r="F484" s="43">
        <f t="shared" si="29"/>
        <v>15.24</v>
      </c>
      <c r="G484" s="43">
        <f t="shared" si="30"/>
        <v>1034.2135919999869</v>
      </c>
      <c r="H484" s="43">
        <f t="shared" si="31"/>
        <v>72.272800228345531</v>
      </c>
      <c r="I484" s="42"/>
    </row>
    <row r="485" spans="1:9" ht="12.75" customHeight="1">
      <c r="A485" s="43">
        <v>100</v>
      </c>
      <c r="B485" s="43">
        <v>6</v>
      </c>
      <c r="C485" s="43">
        <v>200</v>
      </c>
      <c r="D485" s="43">
        <v>302.5</v>
      </c>
      <c r="E485" s="43">
        <f t="shared" si="28"/>
        <v>27.144713700787054</v>
      </c>
      <c r="F485" s="43">
        <f t="shared" si="29"/>
        <v>15.24</v>
      </c>
      <c r="G485" s="43">
        <f t="shared" si="30"/>
        <v>1378.9514559999823</v>
      </c>
      <c r="H485" s="43">
        <f t="shared" si="31"/>
        <v>82.112758944880838</v>
      </c>
      <c r="I485" s="42"/>
    </row>
    <row r="486" spans="1:9" ht="12.75" customHeight="1">
      <c r="A486" s="43">
        <v>100</v>
      </c>
      <c r="B486" s="43">
        <v>6</v>
      </c>
      <c r="C486" s="43">
        <v>250</v>
      </c>
      <c r="D486" s="43">
        <v>338.75</v>
      </c>
      <c r="E486" s="43">
        <f t="shared" si="28"/>
        <v>27.144713700787054</v>
      </c>
      <c r="F486" s="43">
        <f t="shared" si="29"/>
        <v>15.24</v>
      </c>
      <c r="G486" s="43">
        <f t="shared" si="30"/>
        <v>1723.6893199999779</v>
      </c>
      <c r="H486" s="43">
        <f t="shared" si="31"/>
        <v>91.952717661416131</v>
      </c>
      <c r="I486" s="42"/>
    </row>
    <row r="487" spans="1:9" ht="12.75" customHeight="1">
      <c r="A487" s="43">
        <v>100</v>
      </c>
      <c r="B487" s="43">
        <v>6</v>
      </c>
      <c r="C487" s="43">
        <v>300</v>
      </c>
      <c r="D487" s="43">
        <v>375</v>
      </c>
      <c r="E487" s="43">
        <f t="shared" si="28"/>
        <v>27.144713700787054</v>
      </c>
      <c r="F487" s="43">
        <f t="shared" si="29"/>
        <v>15.24</v>
      </c>
      <c r="G487" s="43">
        <f t="shared" si="30"/>
        <v>2068.4271839999737</v>
      </c>
      <c r="H487" s="43">
        <f t="shared" si="31"/>
        <v>101.79267637795145</v>
      </c>
      <c r="I487" s="42"/>
    </row>
    <row r="488" spans="1:9" ht="12.75" customHeight="1">
      <c r="A488" s="43">
        <v>100</v>
      </c>
      <c r="B488" s="43">
        <v>6</v>
      </c>
      <c r="C488" s="43">
        <v>350</v>
      </c>
      <c r="D488" s="43">
        <v>408</v>
      </c>
      <c r="E488" s="43">
        <f t="shared" si="28"/>
        <v>27.144713700787054</v>
      </c>
      <c r="F488" s="43">
        <f t="shared" si="29"/>
        <v>15.24</v>
      </c>
      <c r="G488" s="43">
        <f t="shared" si="30"/>
        <v>2413.1650479999689</v>
      </c>
      <c r="H488" s="43">
        <f t="shared" si="31"/>
        <v>110.75043189921116</v>
      </c>
      <c r="I488" s="42"/>
    </row>
    <row r="489" spans="1:9" ht="12.75" customHeight="1">
      <c r="A489" s="43">
        <v>100</v>
      </c>
      <c r="B489" s="43">
        <v>6</v>
      </c>
      <c r="C489" s="43">
        <v>400</v>
      </c>
      <c r="D489" s="43">
        <v>441</v>
      </c>
      <c r="E489" s="43">
        <f t="shared" si="28"/>
        <v>27.144713700787054</v>
      </c>
      <c r="F489" s="43">
        <f t="shared" si="29"/>
        <v>15.24</v>
      </c>
      <c r="G489" s="43">
        <f t="shared" si="30"/>
        <v>2757.9029119999645</v>
      </c>
      <c r="H489" s="43">
        <f t="shared" si="31"/>
        <v>119.70818742047091</v>
      </c>
      <c r="I489" s="42"/>
    </row>
    <row r="490" spans="1:9" ht="12.75" customHeight="1">
      <c r="A490" s="43">
        <v>100</v>
      </c>
      <c r="B490" s="43">
        <v>6</v>
      </c>
      <c r="C490" s="43">
        <v>450</v>
      </c>
      <c r="D490" s="43">
        <v>474</v>
      </c>
      <c r="E490" s="43">
        <f t="shared" si="28"/>
        <v>27.144713700787054</v>
      </c>
      <c r="F490" s="43">
        <f t="shared" si="29"/>
        <v>15.24</v>
      </c>
      <c r="G490" s="43">
        <f t="shared" si="30"/>
        <v>3102.6407759999602</v>
      </c>
      <c r="H490" s="43">
        <f t="shared" si="31"/>
        <v>128.66594294173063</v>
      </c>
      <c r="I490" s="42"/>
    </row>
    <row r="491" spans="1:9" ht="12.75" customHeight="1">
      <c r="A491" s="43">
        <v>100</v>
      </c>
      <c r="B491" s="43">
        <v>6</v>
      </c>
      <c r="C491" s="43">
        <v>500</v>
      </c>
      <c r="D491" s="43">
        <v>507</v>
      </c>
      <c r="E491" s="43">
        <f t="shared" si="28"/>
        <v>27.144713700787054</v>
      </c>
      <c r="F491" s="43">
        <f t="shared" si="29"/>
        <v>15.24</v>
      </c>
      <c r="G491" s="43">
        <f t="shared" si="30"/>
        <v>3447.3786399999558</v>
      </c>
      <c r="H491" s="43">
        <f t="shared" si="31"/>
        <v>137.62369846299035</v>
      </c>
      <c r="I491" s="42"/>
    </row>
    <row r="492" spans="1:9" ht="12.75" customHeight="1">
      <c r="A492" s="43">
        <v>100</v>
      </c>
      <c r="B492" s="43">
        <v>6</v>
      </c>
      <c r="C492" s="43">
        <v>550</v>
      </c>
      <c r="D492" s="43">
        <v>537</v>
      </c>
      <c r="E492" s="43">
        <f t="shared" si="28"/>
        <v>27.144713700787054</v>
      </c>
      <c r="F492" s="43">
        <f t="shared" si="29"/>
        <v>15.24</v>
      </c>
      <c r="G492" s="43">
        <f t="shared" si="30"/>
        <v>3792.1165039999514</v>
      </c>
      <c r="H492" s="43">
        <f t="shared" si="31"/>
        <v>145.76711257322646</v>
      </c>
      <c r="I492" s="42"/>
    </row>
    <row r="493" spans="1:9" ht="12.75" customHeight="1">
      <c r="A493" s="43">
        <v>100</v>
      </c>
      <c r="B493" s="43">
        <v>6</v>
      </c>
      <c r="C493" s="43">
        <v>600</v>
      </c>
      <c r="D493" s="43">
        <v>567</v>
      </c>
      <c r="E493" s="43">
        <f t="shared" si="28"/>
        <v>27.144713700787054</v>
      </c>
      <c r="F493" s="43">
        <f t="shared" si="29"/>
        <v>15.24</v>
      </c>
      <c r="G493" s="43">
        <f t="shared" si="30"/>
        <v>4136.8543679999475</v>
      </c>
      <c r="H493" s="43">
        <f t="shared" si="31"/>
        <v>153.91052668346259</v>
      </c>
      <c r="I493" s="42"/>
    </row>
    <row r="494" spans="1:9" ht="12.75" customHeight="1">
      <c r="A494" s="43">
        <v>100</v>
      </c>
      <c r="B494" s="43">
        <v>6</v>
      </c>
      <c r="C494" s="43">
        <v>650</v>
      </c>
      <c r="D494" s="43">
        <v>597</v>
      </c>
      <c r="E494" s="43">
        <f t="shared" si="28"/>
        <v>27.144713700787054</v>
      </c>
      <c r="F494" s="43">
        <f t="shared" si="29"/>
        <v>15.24</v>
      </c>
      <c r="G494" s="43">
        <f t="shared" si="30"/>
        <v>4481.5922319999427</v>
      </c>
      <c r="H494" s="43">
        <f t="shared" si="31"/>
        <v>162.0539407936987</v>
      </c>
      <c r="I494" s="42"/>
    </row>
    <row r="495" spans="1:9" ht="12.75" customHeight="1">
      <c r="A495" s="43">
        <v>100</v>
      </c>
      <c r="B495" s="43">
        <v>6</v>
      </c>
      <c r="C495" s="43">
        <v>700</v>
      </c>
      <c r="D495" s="43">
        <v>627</v>
      </c>
      <c r="E495" s="43">
        <f t="shared" si="28"/>
        <v>27.144713700787054</v>
      </c>
      <c r="F495" s="43">
        <f t="shared" si="29"/>
        <v>15.24</v>
      </c>
      <c r="G495" s="43">
        <f t="shared" si="30"/>
        <v>4826.3300959999378</v>
      </c>
      <c r="H495" s="43">
        <f t="shared" si="31"/>
        <v>170.19735490393481</v>
      </c>
      <c r="I495" s="42"/>
    </row>
    <row r="496" spans="1:9" ht="12.75" customHeight="1">
      <c r="A496" s="43">
        <v>100</v>
      </c>
      <c r="B496" s="43">
        <v>6</v>
      </c>
      <c r="C496" s="43">
        <v>750</v>
      </c>
      <c r="D496" s="43">
        <v>657</v>
      </c>
      <c r="E496" s="43">
        <f t="shared" si="28"/>
        <v>27.144713700787054</v>
      </c>
      <c r="F496" s="43">
        <f t="shared" si="29"/>
        <v>15.24</v>
      </c>
      <c r="G496" s="43">
        <f t="shared" si="30"/>
        <v>5171.0679599999339</v>
      </c>
      <c r="H496" s="43">
        <f t="shared" si="31"/>
        <v>178.34076901417095</v>
      </c>
      <c r="I496" s="42"/>
    </row>
    <row r="497" spans="1:9" ht="12.75" customHeight="1">
      <c r="A497" s="43">
        <v>100</v>
      </c>
      <c r="B497" s="43">
        <v>6</v>
      </c>
      <c r="C497" s="43">
        <v>800</v>
      </c>
      <c r="D497" s="43">
        <v>687</v>
      </c>
      <c r="E497" s="43">
        <f t="shared" si="28"/>
        <v>27.144713700787054</v>
      </c>
      <c r="F497" s="43">
        <f t="shared" si="29"/>
        <v>15.24</v>
      </c>
      <c r="G497" s="43">
        <f t="shared" si="30"/>
        <v>5515.8058239999291</v>
      </c>
      <c r="H497" s="43">
        <f t="shared" si="31"/>
        <v>186.48418312440705</v>
      </c>
      <c r="I497" s="42"/>
    </row>
    <row r="498" spans="1:9" ht="12.75" customHeight="1">
      <c r="A498" s="43">
        <v>100</v>
      </c>
      <c r="B498" s="43">
        <v>6</v>
      </c>
      <c r="C498" s="43">
        <v>850</v>
      </c>
      <c r="D498" s="43">
        <v>717</v>
      </c>
      <c r="E498" s="43">
        <f t="shared" si="28"/>
        <v>27.144713700787054</v>
      </c>
      <c r="F498" s="43">
        <f t="shared" si="29"/>
        <v>15.24</v>
      </c>
      <c r="G498" s="43">
        <f t="shared" si="30"/>
        <v>5860.5436879999252</v>
      </c>
      <c r="H498" s="43">
        <f t="shared" si="31"/>
        <v>194.62759723464316</v>
      </c>
      <c r="I498" s="42"/>
    </row>
    <row r="499" spans="1:9" ht="12.75" customHeight="1">
      <c r="A499" s="43">
        <v>100</v>
      </c>
      <c r="B499" s="43">
        <v>6</v>
      </c>
      <c r="C499" s="43">
        <v>900</v>
      </c>
      <c r="D499" s="43">
        <v>747</v>
      </c>
      <c r="E499" s="43">
        <f t="shared" si="28"/>
        <v>27.144713700787054</v>
      </c>
      <c r="F499" s="43">
        <f t="shared" si="29"/>
        <v>15.24</v>
      </c>
      <c r="G499" s="43">
        <f t="shared" si="30"/>
        <v>6205.2815519999203</v>
      </c>
      <c r="H499" s="43">
        <f t="shared" si="31"/>
        <v>202.7710113448793</v>
      </c>
      <c r="I499" s="42"/>
    </row>
    <row r="500" spans="1:9" ht="12.75" customHeight="1">
      <c r="A500" s="43">
        <v>100</v>
      </c>
      <c r="B500" s="43">
        <v>6</v>
      </c>
      <c r="C500" s="43">
        <v>950</v>
      </c>
      <c r="D500" s="43">
        <v>777</v>
      </c>
      <c r="E500" s="43">
        <f t="shared" si="28"/>
        <v>27.144713700787054</v>
      </c>
      <c r="F500" s="43">
        <f t="shared" si="29"/>
        <v>15.24</v>
      </c>
      <c r="G500" s="43">
        <f t="shared" si="30"/>
        <v>6550.0194159999164</v>
      </c>
      <c r="H500" s="43">
        <f t="shared" si="31"/>
        <v>210.91442545511541</v>
      </c>
      <c r="I500" s="42"/>
    </row>
    <row r="501" spans="1:9" ht="12.75" customHeight="1">
      <c r="A501" s="43">
        <v>100</v>
      </c>
      <c r="B501" s="43">
        <v>6</v>
      </c>
      <c r="C501" s="43">
        <v>1000</v>
      </c>
      <c r="D501" s="43">
        <v>807</v>
      </c>
      <c r="E501" s="43">
        <f t="shared" si="28"/>
        <v>27.144713700787054</v>
      </c>
      <c r="F501" s="43">
        <f t="shared" si="29"/>
        <v>15.24</v>
      </c>
      <c r="G501" s="43">
        <f t="shared" si="30"/>
        <v>6894.7572799999116</v>
      </c>
      <c r="H501" s="43">
        <f t="shared" si="31"/>
        <v>219.05783956535151</v>
      </c>
      <c r="I501" s="42"/>
    </row>
    <row r="502" spans="1:9" ht="12.75" customHeight="1">
      <c r="A502" s="43">
        <v>100</v>
      </c>
      <c r="B502" s="43">
        <v>6</v>
      </c>
      <c r="C502" s="43">
        <v>1100</v>
      </c>
      <c r="D502" s="43">
        <v>861.1</v>
      </c>
      <c r="E502" s="43">
        <f t="shared" si="28"/>
        <v>27.144713700787054</v>
      </c>
      <c r="F502" s="43">
        <f t="shared" si="29"/>
        <v>15.24</v>
      </c>
      <c r="G502" s="43">
        <f t="shared" si="30"/>
        <v>7584.2330079999028</v>
      </c>
      <c r="H502" s="43">
        <f t="shared" si="31"/>
        <v>233.74312967747733</v>
      </c>
      <c r="I502" s="42"/>
    </row>
    <row r="503" spans="1:9" ht="12.75" customHeight="1">
      <c r="A503" s="43">
        <v>100</v>
      </c>
      <c r="B503" s="43">
        <v>6</v>
      </c>
      <c r="C503" s="43">
        <v>1200</v>
      </c>
      <c r="D503" s="43">
        <v>915.2</v>
      </c>
      <c r="E503" s="43">
        <f t="shared" si="28"/>
        <v>27.144713700787054</v>
      </c>
      <c r="F503" s="43">
        <f t="shared" si="29"/>
        <v>15.24</v>
      </c>
      <c r="G503" s="43">
        <f t="shared" si="30"/>
        <v>8273.708735999895</v>
      </c>
      <c r="H503" s="43">
        <f t="shared" si="31"/>
        <v>248.42841978960314</v>
      </c>
      <c r="I503" s="42"/>
    </row>
    <row r="504" spans="1:9" ht="12.75" customHeight="1">
      <c r="A504" s="43">
        <v>100</v>
      </c>
      <c r="B504" s="43">
        <v>6</v>
      </c>
      <c r="C504" s="43">
        <v>1300</v>
      </c>
      <c r="D504" s="43">
        <v>969.30000000000007</v>
      </c>
      <c r="E504" s="43">
        <f t="shared" si="28"/>
        <v>27.144713700787054</v>
      </c>
      <c r="F504" s="43">
        <f t="shared" si="29"/>
        <v>15.24</v>
      </c>
      <c r="G504" s="43">
        <f t="shared" si="30"/>
        <v>8963.1844639998853</v>
      </c>
      <c r="H504" s="43">
        <f t="shared" si="31"/>
        <v>263.1137099017289</v>
      </c>
      <c r="I504" s="42"/>
    </row>
    <row r="505" spans="1:9" ht="12.75" customHeight="1">
      <c r="A505" s="43">
        <v>100</v>
      </c>
      <c r="B505" s="43">
        <v>6</v>
      </c>
      <c r="C505" s="43">
        <v>1400</v>
      </c>
      <c r="D505" s="43">
        <v>1023.4000000000001</v>
      </c>
      <c r="E505" s="43">
        <f t="shared" si="28"/>
        <v>27.144713700787054</v>
      </c>
      <c r="F505" s="43">
        <f t="shared" si="29"/>
        <v>15.24</v>
      </c>
      <c r="G505" s="43">
        <f t="shared" si="30"/>
        <v>9652.6601919998757</v>
      </c>
      <c r="H505" s="43">
        <f t="shared" si="31"/>
        <v>277.79900001385471</v>
      </c>
      <c r="I505" s="42"/>
    </row>
    <row r="506" spans="1:9" ht="12.75" customHeight="1">
      <c r="A506" s="43">
        <v>100</v>
      </c>
      <c r="B506" s="43">
        <v>6</v>
      </c>
      <c r="C506" s="43">
        <v>1500</v>
      </c>
      <c r="D506" s="43">
        <v>1077.5</v>
      </c>
      <c r="E506" s="43">
        <f t="shared" si="28"/>
        <v>27.144713700787054</v>
      </c>
      <c r="F506" s="43">
        <f t="shared" si="29"/>
        <v>15.24</v>
      </c>
      <c r="G506" s="43">
        <f t="shared" si="30"/>
        <v>10342.135919999868</v>
      </c>
      <c r="H506" s="43">
        <f t="shared" si="31"/>
        <v>292.48429012598052</v>
      </c>
      <c r="I506" s="42"/>
    </row>
    <row r="507" spans="1:9" ht="12.75" customHeight="1">
      <c r="A507" s="43">
        <v>100</v>
      </c>
      <c r="B507" s="43">
        <v>6</v>
      </c>
      <c r="C507" s="43">
        <v>1600</v>
      </c>
      <c r="D507" s="43">
        <v>1131.5999999999999</v>
      </c>
      <c r="E507" s="43">
        <f t="shared" si="28"/>
        <v>27.144713700787054</v>
      </c>
      <c r="F507" s="43">
        <f t="shared" si="29"/>
        <v>15.24</v>
      </c>
      <c r="G507" s="43">
        <f t="shared" si="30"/>
        <v>11031.611647999858</v>
      </c>
      <c r="H507" s="43">
        <f t="shared" si="31"/>
        <v>307.16958023810628</v>
      </c>
      <c r="I507" s="42"/>
    </row>
    <row r="508" spans="1:9" ht="12.75" customHeight="1">
      <c r="A508" s="43">
        <v>100</v>
      </c>
      <c r="B508" s="43">
        <v>6</v>
      </c>
      <c r="C508" s="43">
        <v>1700</v>
      </c>
      <c r="D508" s="43">
        <v>1185.6999999999998</v>
      </c>
      <c r="E508" s="43">
        <f t="shared" si="28"/>
        <v>27.144713700787054</v>
      </c>
      <c r="F508" s="43">
        <f t="shared" si="29"/>
        <v>15.24</v>
      </c>
      <c r="G508" s="43">
        <f t="shared" si="30"/>
        <v>11721.08737599985</v>
      </c>
      <c r="H508" s="43">
        <f t="shared" si="31"/>
        <v>321.85487035023198</v>
      </c>
      <c r="I508" s="42"/>
    </row>
    <row r="509" spans="1:9" ht="12.75" customHeight="1">
      <c r="A509" s="43">
        <v>100</v>
      </c>
      <c r="B509" s="43">
        <v>6</v>
      </c>
      <c r="C509" s="43">
        <v>1800</v>
      </c>
      <c r="D509" s="43">
        <v>1239.7999999999997</v>
      </c>
      <c r="E509" s="43">
        <f t="shared" si="28"/>
        <v>27.144713700787054</v>
      </c>
      <c r="F509" s="43">
        <f t="shared" si="29"/>
        <v>15.24</v>
      </c>
      <c r="G509" s="43">
        <f t="shared" si="30"/>
        <v>12410.563103999841</v>
      </c>
      <c r="H509" s="43">
        <f t="shared" si="31"/>
        <v>336.54016046235785</v>
      </c>
      <c r="I509" s="42"/>
    </row>
    <row r="510" spans="1:9" ht="12.75" customHeight="1">
      <c r="A510" s="43">
        <v>100</v>
      </c>
      <c r="B510" s="43">
        <v>6</v>
      </c>
      <c r="C510" s="43">
        <v>1900</v>
      </c>
      <c r="D510" s="43">
        <v>1293.8999999999996</v>
      </c>
      <c r="E510" s="43">
        <f t="shared" si="28"/>
        <v>27.144713700787054</v>
      </c>
      <c r="F510" s="43">
        <f t="shared" si="29"/>
        <v>15.24</v>
      </c>
      <c r="G510" s="43">
        <f t="shared" si="30"/>
        <v>13100.038831999833</v>
      </c>
      <c r="H510" s="43">
        <f t="shared" si="31"/>
        <v>351.2254505744836</v>
      </c>
      <c r="I510" s="42"/>
    </row>
    <row r="511" spans="1:9" ht="12.75" customHeight="1">
      <c r="A511" s="43">
        <v>100</v>
      </c>
      <c r="B511" s="43">
        <v>6</v>
      </c>
      <c r="C511" s="43">
        <v>2000</v>
      </c>
      <c r="D511" s="43">
        <v>1348</v>
      </c>
      <c r="E511" s="43">
        <f t="shared" si="28"/>
        <v>27.144713700787054</v>
      </c>
      <c r="F511" s="43">
        <f t="shared" si="29"/>
        <v>15.24</v>
      </c>
      <c r="G511" s="43">
        <f t="shared" si="30"/>
        <v>13789.514559999823</v>
      </c>
      <c r="H511" s="43">
        <f t="shared" si="31"/>
        <v>365.91074068660947</v>
      </c>
      <c r="I511" s="42"/>
    </row>
    <row r="512" spans="1:9" ht="12.75" customHeight="1">
      <c r="A512" s="43">
        <v>150</v>
      </c>
      <c r="B512" s="43">
        <v>2</v>
      </c>
      <c r="C512" s="43">
        <v>50</v>
      </c>
      <c r="D512" s="43">
        <v>180</v>
      </c>
      <c r="E512" s="43">
        <f t="shared" si="28"/>
        <v>40.717070551180576</v>
      </c>
      <c r="F512" s="43">
        <f t="shared" si="29"/>
        <v>5.08</v>
      </c>
      <c r="G512" s="43">
        <f t="shared" si="30"/>
        <v>344.73786399999557</v>
      </c>
      <c r="H512" s="43">
        <f t="shared" si="31"/>
        <v>48.860484661416699</v>
      </c>
      <c r="I512" s="42"/>
    </row>
    <row r="513" spans="1:9" ht="12.75" customHeight="1">
      <c r="A513" s="43">
        <v>150</v>
      </c>
      <c r="B513" s="43">
        <v>2</v>
      </c>
      <c r="C513" s="43">
        <v>60</v>
      </c>
      <c r="D513" s="43">
        <v>181.8</v>
      </c>
      <c r="E513" s="43">
        <f t="shared" si="28"/>
        <v>40.717070551180576</v>
      </c>
      <c r="F513" s="43">
        <f t="shared" si="29"/>
        <v>5.08</v>
      </c>
      <c r="G513" s="43">
        <f t="shared" si="30"/>
        <v>413.6854367999947</v>
      </c>
      <c r="H513" s="43">
        <f t="shared" si="31"/>
        <v>49.349089508030872</v>
      </c>
      <c r="I513" s="42"/>
    </row>
    <row r="514" spans="1:9" ht="12.75" customHeight="1">
      <c r="A514" s="43">
        <v>150</v>
      </c>
      <c r="B514" s="43">
        <v>2</v>
      </c>
      <c r="C514" s="43">
        <v>70</v>
      </c>
      <c r="D514" s="43">
        <v>183.60000000000002</v>
      </c>
      <c r="E514" s="43">
        <f t="shared" si="28"/>
        <v>40.717070551180576</v>
      </c>
      <c r="F514" s="43">
        <f t="shared" si="29"/>
        <v>5.08</v>
      </c>
      <c r="G514" s="43">
        <f t="shared" si="30"/>
        <v>482.63300959999384</v>
      </c>
      <c r="H514" s="43">
        <f t="shared" si="31"/>
        <v>49.837694354645038</v>
      </c>
      <c r="I514" s="42"/>
    </row>
    <row r="515" spans="1:9" ht="12.75" customHeight="1">
      <c r="A515" s="43">
        <v>150</v>
      </c>
      <c r="B515" s="43">
        <v>2</v>
      </c>
      <c r="C515" s="43">
        <v>80</v>
      </c>
      <c r="D515" s="43">
        <v>185.40000000000003</v>
      </c>
      <c r="E515" s="43">
        <f t="shared" ref="E515:E578" si="32">A515/145.03773800722/0.0254</f>
        <v>40.717070551180576</v>
      </c>
      <c r="F515" s="43">
        <f t="shared" ref="F515:F578" si="33">B515*2.54</f>
        <v>5.08</v>
      </c>
      <c r="G515" s="43">
        <f t="shared" ref="G515:G578" si="34">C515/0.14503773800722</f>
        <v>551.58058239999298</v>
      </c>
      <c r="H515" s="43">
        <f t="shared" ref="H515:H578" si="35">D515/145.03773800722/0.0254</f>
        <v>50.326299201259211</v>
      </c>
      <c r="I515" s="42"/>
    </row>
    <row r="516" spans="1:9" ht="12.75" customHeight="1">
      <c r="A516" s="43">
        <v>150</v>
      </c>
      <c r="B516" s="43">
        <v>2</v>
      </c>
      <c r="C516" s="43">
        <v>90</v>
      </c>
      <c r="D516" s="43">
        <v>187.20000000000005</v>
      </c>
      <c r="E516" s="43">
        <f t="shared" si="32"/>
        <v>40.717070551180576</v>
      </c>
      <c r="F516" s="43">
        <f t="shared" si="33"/>
        <v>5.08</v>
      </c>
      <c r="G516" s="43">
        <f t="shared" si="34"/>
        <v>620.52815519999206</v>
      </c>
      <c r="H516" s="43">
        <f t="shared" si="35"/>
        <v>50.814904047873377</v>
      </c>
      <c r="I516" s="42"/>
    </row>
    <row r="517" spans="1:9" ht="12.75" customHeight="1">
      <c r="A517" s="43">
        <v>150</v>
      </c>
      <c r="B517" s="43">
        <v>2</v>
      </c>
      <c r="C517" s="43">
        <v>100</v>
      </c>
      <c r="D517" s="43">
        <v>189</v>
      </c>
      <c r="E517" s="43">
        <f t="shared" si="32"/>
        <v>40.717070551180576</v>
      </c>
      <c r="F517" s="43">
        <f t="shared" si="33"/>
        <v>5.08</v>
      </c>
      <c r="G517" s="43">
        <f t="shared" si="34"/>
        <v>689.47572799999114</v>
      </c>
      <c r="H517" s="43">
        <f t="shared" si="35"/>
        <v>51.303508894487528</v>
      </c>
      <c r="I517" s="42"/>
    </row>
    <row r="518" spans="1:9" ht="12.75" customHeight="1">
      <c r="A518" s="43">
        <v>150</v>
      </c>
      <c r="B518" s="43">
        <v>2</v>
      </c>
      <c r="C518" s="43">
        <v>150</v>
      </c>
      <c r="D518" s="43">
        <v>193.25</v>
      </c>
      <c r="E518" s="43">
        <f t="shared" si="32"/>
        <v>40.717070551180576</v>
      </c>
      <c r="F518" s="43">
        <f t="shared" si="33"/>
        <v>5.08</v>
      </c>
      <c r="G518" s="43">
        <f t="shared" si="34"/>
        <v>1034.2135919999869</v>
      </c>
      <c r="H518" s="43">
        <f t="shared" si="35"/>
        <v>52.457159226770983</v>
      </c>
      <c r="I518" s="42"/>
    </row>
    <row r="519" spans="1:9" ht="12.75" customHeight="1">
      <c r="A519" s="43">
        <v>150</v>
      </c>
      <c r="B519" s="43">
        <v>2</v>
      </c>
      <c r="C519" s="43">
        <v>200</v>
      </c>
      <c r="D519" s="43">
        <v>197.5</v>
      </c>
      <c r="E519" s="43">
        <f t="shared" si="32"/>
        <v>40.717070551180576</v>
      </c>
      <c r="F519" s="43">
        <f t="shared" si="33"/>
        <v>5.08</v>
      </c>
      <c r="G519" s="43">
        <f t="shared" si="34"/>
        <v>1378.9514559999823</v>
      </c>
      <c r="H519" s="43">
        <f t="shared" si="35"/>
        <v>53.610809559054431</v>
      </c>
      <c r="I519" s="42"/>
    </row>
    <row r="520" spans="1:9" ht="12.75" customHeight="1">
      <c r="A520" s="43">
        <v>150</v>
      </c>
      <c r="B520" s="43">
        <v>2</v>
      </c>
      <c r="C520" s="43">
        <v>250</v>
      </c>
      <c r="D520" s="43">
        <v>201.75</v>
      </c>
      <c r="E520" s="43">
        <f t="shared" si="32"/>
        <v>40.717070551180576</v>
      </c>
      <c r="F520" s="43">
        <f t="shared" si="33"/>
        <v>5.08</v>
      </c>
      <c r="G520" s="43">
        <f t="shared" si="34"/>
        <v>1723.6893199999779</v>
      </c>
      <c r="H520" s="43">
        <f t="shared" si="35"/>
        <v>54.764459891337879</v>
      </c>
      <c r="I520" s="42"/>
    </row>
    <row r="521" spans="1:9" ht="12.75" customHeight="1">
      <c r="A521" s="43">
        <v>150</v>
      </c>
      <c r="B521" s="43">
        <v>2</v>
      </c>
      <c r="C521" s="43">
        <v>300</v>
      </c>
      <c r="D521" s="43">
        <v>206</v>
      </c>
      <c r="E521" s="43">
        <f t="shared" si="32"/>
        <v>40.717070551180576</v>
      </c>
      <c r="F521" s="43">
        <f t="shared" si="33"/>
        <v>5.08</v>
      </c>
      <c r="G521" s="43">
        <f t="shared" si="34"/>
        <v>2068.4271839999737</v>
      </c>
      <c r="H521" s="43">
        <f t="shared" si="35"/>
        <v>55.918110223621333</v>
      </c>
      <c r="I521" s="42"/>
    </row>
    <row r="522" spans="1:9" ht="12.75" customHeight="1">
      <c r="A522" s="43">
        <v>150</v>
      </c>
      <c r="B522" s="43">
        <v>2</v>
      </c>
      <c r="C522" s="43">
        <v>350</v>
      </c>
      <c r="D522" s="43">
        <v>209.5</v>
      </c>
      <c r="E522" s="43">
        <f t="shared" si="32"/>
        <v>40.717070551180576</v>
      </c>
      <c r="F522" s="43">
        <f t="shared" si="33"/>
        <v>5.08</v>
      </c>
      <c r="G522" s="43">
        <f t="shared" si="34"/>
        <v>2413.1650479999689</v>
      </c>
      <c r="H522" s="43">
        <f t="shared" si="35"/>
        <v>56.868175203148873</v>
      </c>
      <c r="I522" s="42"/>
    </row>
    <row r="523" spans="1:9" ht="12.75" customHeight="1">
      <c r="A523" s="43">
        <v>150</v>
      </c>
      <c r="B523" s="43">
        <v>2</v>
      </c>
      <c r="C523" s="43">
        <v>400</v>
      </c>
      <c r="D523" s="43">
        <v>213</v>
      </c>
      <c r="E523" s="43">
        <f t="shared" si="32"/>
        <v>40.717070551180576</v>
      </c>
      <c r="F523" s="43">
        <f t="shared" si="33"/>
        <v>5.08</v>
      </c>
      <c r="G523" s="43">
        <f t="shared" si="34"/>
        <v>2757.9029119999645</v>
      </c>
      <c r="H523" s="43">
        <f t="shared" si="35"/>
        <v>57.818240182676426</v>
      </c>
      <c r="I523" s="42"/>
    </row>
    <row r="524" spans="1:9" ht="12.75" customHeight="1">
      <c r="A524" s="43">
        <v>150</v>
      </c>
      <c r="B524" s="43">
        <v>2</v>
      </c>
      <c r="C524" s="43">
        <v>450</v>
      </c>
      <c r="D524" s="43">
        <v>216.5</v>
      </c>
      <c r="E524" s="43">
        <f t="shared" si="32"/>
        <v>40.717070551180576</v>
      </c>
      <c r="F524" s="43">
        <f t="shared" si="33"/>
        <v>5.08</v>
      </c>
      <c r="G524" s="43">
        <f t="shared" si="34"/>
        <v>3102.6407759999602</v>
      </c>
      <c r="H524" s="43">
        <f t="shared" si="35"/>
        <v>58.768305162203973</v>
      </c>
      <c r="I524" s="42"/>
    </row>
    <row r="525" spans="1:9" ht="12.75" customHeight="1">
      <c r="A525" s="43">
        <v>150</v>
      </c>
      <c r="B525" s="43">
        <v>2</v>
      </c>
      <c r="C525" s="43">
        <v>500</v>
      </c>
      <c r="D525" s="43">
        <v>220</v>
      </c>
      <c r="E525" s="43">
        <f t="shared" si="32"/>
        <v>40.717070551180576</v>
      </c>
      <c r="F525" s="43">
        <f t="shared" si="33"/>
        <v>5.08</v>
      </c>
      <c r="G525" s="43">
        <f t="shared" si="34"/>
        <v>3447.3786399999558</v>
      </c>
      <c r="H525" s="43">
        <f t="shared" si="35"/>
        <v>59.718370141731512</v>
      </c>
      <c r="I525" s="42"/>
    </row>
    <row r="526" spans="1:9" ht="12.75" customHeight="1">
      <c r="A526" s="43">
        <v>150</v>
      </c>
      <c r="B526" s="43">
        <v>2</v>
      </c>
      <c r="C526" s="43">
        <v>550</v>
      </c>
      <c r="D526" s="43">
        <v>222.9</v>
      </c>
      <c r="E526" s="43">
        <f t="shared" si="32"/>
        <v>40.717070551180576</v>
      </c>
      <c r="F526" s="43">
        <f t="shared" si="33"/>
        <v>5.08</v>
      </c>
      <c r="G526" s="43">
        <f t="shared" si="34"/>
        <v>3792.1165039999514</v>
      </c>
      <c r="H526" s="43">
        <f t="shared" si="35"/>
        <v>60.505566839054339</v>
      </c>
      <c r="I526" s="42"/>
    </row>
    <row r="527" spans="1:9" ht="12.75" customHeight="1">
      <c r="A527" s="43">
        <v>150</v>
      </c>
      <c r="B527" s="43">
        <v>2</v>
      </c>
      <c r="C527" s="43">
        <v>600</v>
      </c>
      <c r="D527" s="43">
        <v>225.8</v>
      </c>
      <c r="E527" s="43">
        <f t="shared" si="32"/>
        <v>40.717070551180576</v>
      </c>
      <c r="F527" s="43">
        <f t="shared" si="33"/>
        <v>5.08</v>
      </c>
      <c r="G527" s="43">
        <f t="shared" si="34"/>
        <v>4136.8543679999475</v>
      </c>
      <c r="H527" s="43">
        <f t="shared" si="35"/>
        <v>61.292763536377173</v>
      </c>
      <c r="I527" s="42"/>
    </row>
    <row r="528" spans="1:9" ht="12.75" customHeight="1">
      <c r="A528" s="43">
        <v>150</v>
      </c>
      <c r="B528" s="43">
        <v>2</v>
      </c>
      <c r="C528" s="43">
        <v>650</v>
      </c>
      <c r="D528" s="43">
        <v>228.70000000000002</v>
      </c>
      <c r="E528" s="43">
        <f t="shared" si="32"/>
        <v>40.717070551180576</v>
      </c>
      <c r="F528" s="43">
        <f t="shared" si="33"/>
        <v>5.08</v>
      </c>
      <c r="G528" s="43">
        <f t="shared" si="34"/>
        <v>4481.5922319999427</v>
      </c>
      <c r="H528" s="43">
        <f t="shared" si="35"/>
        <v>62.079960233699993</v>
      </c>
      <c r="I528" s="42"/>
    </row>
    <row r="529" spans="1:9" ht="12.75" customHeight="1">
      <c r="A529" s="43">
        <v>150</v>
      </c>
      <c r="B529" s="43">
        <v>2</v>
      </c>
      <c r="C529" s="43">
        <v>700</v>
      </c>
      <c r="D529" s="43">
        <v>231.60000000000002</v>
      </c>
      <c r="E529" s="43">
        <f t="shared" si="32"/>
        <v>40.717070551180576</v>
      </c>
      <c r="F529" s="43">
        <f t="shared" si="33"/>
        <v>5.08</v>
      </c>
      <c r="G529" s="43">
        <f t="shared" si="34"/>
        <v>4826.3300959999378</v>
      </c>
      <c r="H529" s="43">
        <f t="shared" si="35"/>
        <v>62.867156931022819</v>
      </c>
      <c r="I529" s="42"/>
    </row>
    <row r="530" spans="1:9" ht="12.75" customHeight="1">
      <c r="A530" s="43">
        <v>150</v>
      </c>
      <c r="B530" s="43">
        <v>2</v>
      </c>
      <c r="C530" s="43">
        <v>750</v>
      </c>
      <c r="D530" s="43">
        <v>234.50000000000003</v>
      </c>
      <c r="E530" s="43">
        <f t="shared" si="32"/>
        <v>40.717070551180576</v>
      </c>
      <c r="F530" s="43">
        <f t="shared" si="33"/>
        <v>5.08</v>
      </c>
      <c r="G530" s="43">
        <f t="shared" si="34"/>
        <v>5171.0679599999339</v>
      </c>
      <c r="H530" s="43">
        <f t="shared" si="35"/>
        <v>63.654353628345646</v>
      </c>
      <c r="I530" s="42"/>
    </row>
    <row r="531" spans="1:9" ht="12.75" customHeight="1">
      <c r="A531" s="43">
        <v>150</v>
      </c>
      <c r="B531" s="43">
        <v>2</v>
      </c>
      <c r="C531" s="43">
        <v>800</v>
      </c>
      <c r="D531" s="43">
        <v>237.40000000000003</v>
      </c>
      <c r="E531" s="43">
        <f t="shared" si="32"/>
        <v>40.717070551180576</v>
      </c>
      <c r="F531" s="43">
        <f t="shared" si="33"/>
        <v>5.08</v>
      </c>
      <c r="G531" s="43">
        <f t="shared" si="34"/>
        <v>5515.8058239999291</v>
      </c>
      <c r="H531" s="43">
        <f t="shared" si="35"/>
        <v>64.441550325668473</v>
      </c>
      <c r="I531" s="42"/>
    </row>
    <row r="532" spans="1:9" ht="12.75" customHeight="1">
      <c r="A532" s="43">
        <v>150</v>
      </c>
      <c r="B532" s="43">
        <v>2</v>
      </c>
      <c r="C532" s="43">
        <v>850</v>
      </c>
      <c r="D532" s="43">
        <v>240.30000000000004</v>
      </c>
      <c r="E532" s="43">
        <f t="shared" si="32"/>
        <v>40.717070551180576</v>
      </c>
      <c r="F532" s="43">
        <f t="shared" si="33"/>
        <v>5.08</v>
      </c>
      <c r="G532" s="43">
        <f t="shared" si="34"/>
        <v>5860.5436879999252</v>
      </c>
      <c r="H532" s="43">
        <f t="shared" si="35"/>
        <v>65.2287470229913</v>
      </c>
      <c r="I532" s="42"/>
    </row>
    <row r="533" spans="1:9" ht="12.75" customHeight="1">
      <c r="A533" s="43">
        <v>150</v>
      </c>
      <c r="B533" s="43">
        <v>2</v>
      </c>
      <c r="C533" s="43">
        <v>900</v>
      </c>
      <c r="D533" s="43">
        <v>243.20000000000005</v>
      </c>
      <c r="E533" s="43">
        <f t="shared" si="32"/>
        <v>40.717070551180576</v>
      </c>
      <c r="F533" s="43">
        <f t="shared" si="33"/>
        <v>5.08</v>
      </c>
      <c r="G533" s="43">
        <f t="shared" si="34"/>
        <v>6205.2815519999203</v>
      </c>
      <c r="H533" s="43">
        <f t="shared" si="35"/>
        <v>66.015943720314127</v>
      </c>
      <c r="I533" s="42"/>
    </row>
    <row r="534" spans="1:9" ht="12.75" customHeight="1">
      <c r="A534" s="43">
        <v>150</v>
      </c>
      <c r="B534" s="43">
        <v>2</v>
      </c>
      <c r="C534" s="43">
        <v>950</v>
      </c>
      <c r="D534" s="43">
        <v>246.10000000000005</v>
      </c>
      <c r="E534" s="43">
        <f t="shared" si="32"/>
        <v>40.717070551180576</v>
      </c>
      <c r="F534" s="43">
        <f t="shared" si="33"/>
        <v>5.08</v>
      </c>
      <c r="G534" s="43">
        <f t="shared" si="34"/>
        <v>6550.0194159999164</v>
      </c>
      <c r="H534" s="43">
        <f t="shared" si="35"/>
        <v>66.803140417636953</v>
      </c>
      <c r="I534" s="42"/>
    </row>
    <row r="535" spans="1:9" ht="12.75" customHeight="1">
      <c r="A535" s="43">
        <v>150</v>
      </c>
      <c r="B535" s="43">
        <v>2</v>
      </c>
      <c r="C535" s="43">
        <v>1000</v>
      </c>
      <c r="D535" s="43">
        <v>249</v>
      </c>
      <c r="E535" s="43">
        <f t="shared" si="32"/>
        <v>40.717070551180576</v>
      </c>
      <c r="F535" s="43">
        <f t="shared" si="33"/>
        <v>5.08</v>
      </c>
      <c r="G535" s="43">
        <f t="shared" si="34"/>
        <v>6894.7572799999116</v>
      </c>
      <c r="H535" s="43">
        <f t="shared" si="35"/>
        <v>67.590337114959766</v>
      </c>
      <c r="I535" s="42"/>
    </row>
    <row r="536" spans="1:9" ht="12.75" customHeight="1">
      <c r="A536" s="43">
        <v>150</v>
      </c>
      <c r="B536" s="43">
        <v>2</v>
      </c>
      <c r="C536" s="43">
        <v>1100</v>
      </c>
      <c r="D536" s="43">
        <v>254</v>
      </c>
      <c r="E536" s="43">
        <f t="shared" si="32"/>
        <v>40.717070551180576</v>
      </c>
      <c r="F536" s="43">
        <f t="shared" si="33"/>
        <v>5.08</v>
      </c>
      <c r="G536" s="43">
        <f t="shared" si="34"/>
        <v>7584.2330079999028</v>
      </c>
      <c r="H536" s="43">
        <f t="shared" si="35"/>
        <v>68.947572799999108</v>
      </c>
      <c r="I536" s="42"/>
    </row>
    <row r="537" spans="1:9" ht="12.75" customHeight="1">
      <c r="A537" s="43">
        <v>150</v>
      </c>
      <c r="B537" s="43">
        <v>2</v>
      </c>
      <c r="C537" s="43">
        <v>1200</v>
      </c>
      <c r="D537" s="43">
        <v>259</v>
      </c>
      <c r="E537" s="43">
        <f t="shared" si="32"/>
        <v>40.717070551180576</v>
      </c>
      <c r="F537" s="43">
        <f t="shared" si="33"/>
        <v>5.08</v>
      </c>
      <c r="G537" s="43">
        <f t="shared" si="34"/>
        <v>8273.708735999895</v>
      </c>
      <c r="H537" s="43">
        <f t="shared" si="35"/>
        <v>70.304808485038464</v>
      </c>
      <c r="I537" s="42"/>
    </row>
    <row r="538" spans="1:9" ht="12.75" customHeight="1">
      <c r="A538" s="43">
        <v>150</v>
      </c>
      <c r="B538" s="43">
        <v>2</v>
      </c>
      <c r="C538" s="43">
        <v>1300</v>
      </c>
      <c r="D538" s="43">
        <v>264</v>
      </c>
      <c r="E538" s="43">
        <f t="shared" si="32"/>
        <v>40.717070551180576</v>
      </c>
      <c r="F538" s="43">
        <f t="shared" si="33"/>
        <v>5.08</v>
      </c>
      <c r="G538" s="43">
        <f t="shared" si="34"/>
        <v>8963.1844639998853</v>
      </c>
      <c r="H538" s="43">
        <f t="shared" si="35"/>
        <v>71.66204417007782</v>
      </c>
      <c r="I538" s="42"/>
    </row>
    <row r="539" spans="1:9" ht="12.75" customHeight="1">
      <c r="A539" s="43">
        <v>150</v>
      </c>
      <c r="B539" s="43">
        <v>2</v>
      </c>
      <c r="C539" s="43">
        <v>1400</v>
      </c>
      <c r="D539" s="43">
        <v>269</v>
      </c>
      <c r="E539" s="43">
        <f t="shared" si="32"/>
        <v>40.717070551180576</v>
      </c>
      <c r="F539" s="43">
        <f t="shared" si="33"/>
        <v>5.08</v>
      </c>
      <c r="G539" s="43">
        <f t="shared" si="34"/>
        <v>9652.6601919998757</v>
      </c>
      <c r="H539" s="43">
        <f t="shared" si="35"/>
        <v>73.019279855117176</v>
      </c>
      <c r="I539" s="42"/>
    </row>
    <row r="540" spans="1:9" ht="12.75" customHeight="1">
      <c r="A540" s="43">
        <v>150</v>
      </c>
      <c r="B540" s="43">
        <v>2</v>
      </c>
      <c r="C540" s="43">
        <v>1500</v>
      </c>
      <c r="D540" s="43">
        <v>274</v>
      </c>
      <c r="E540" s="43">
        <f t="shared" si="32"/>
        <v>40.717070551180576</v>
      </c>
      <c r="F540" s="43">
        <f t="shared" si="33"/>
        <v>5.08</v>
      </c>
      <c r="G540" s="43">
        <f t="shared" si="34"/>
        <v>10342.135919999868</v>
      </c>
      <c r="H540" s="43">
        <f t="shared" si="35"/>
        <v>74.376515540156518</v>
      </c>
      <c r="I540" s="42"/>
    </row>
    <row r="541" spans="1:9" ht="12.75" customHeight="1">
      <c r="A541" s="43">
        <v>150</v>
      </c>
      <c r="B541" s="43">
        <v>2</v>
      </c>
      <c r="C541" s="43">
        <v>1600</v>
      </c>
      <c r="D541" s="43">
        <v>279</v>
      </c>
      <c r="E541" s="43">
        <f t="shared" si="32"/>
        <v>40.717070551180576</v>
      </c>
      <c r="F541" s="43">
        <f t="shared" si="33"/>
        <v>5.08</v>
      </c>
      <c r="G541" s="43">
        <f t="shared" si="34"/>
        <v>11031.611647999858</v>
      </c>
      <c r="H541" s="43">
        <f t="shared" si="35"/>
        <v>75.733751225195874</v>
      </c>
      <c r="I541" s="42"/>
    </row>
    <row r="542" spans="1:9" ht="12.75" customHeight="1">
      <c r="A542" s="43">
        <v>150</v>
      </c>
      <c r="B542" s="43">
        <v>2</v>
      </c>
      <c r="C542" s="43">
        <v>1700</v>
      </c>
      <c r="D542" s="43">
        <v>284</v>
      </c>
      <c r="E542" s="43">
        <f t="shared" si="32"/>
        <v>40.717070551180576</v>
      </c>
      <c r="F542" s="43">
        <f t="shared" si="33"/>
        <v>5.08</v>
      </c>
      <c r="G542" s="43">
        <f t="shared" si="34"/>
        <v>11721.08737599985</v>
      </c>
      <c r="H542" s="43">
        <f t="shared" si="35"/>
        <v>77.09098691023523</v>
      </c>
      <c r="I542" s="42"/>
    </row>
    <row r="543" spans="1:9" ht="12.75" customHeight="1">
      <c r="A543" s="43">
        <v>150</v>
      </c>
      <c r="B543" s="43">
        <v>2</v>
      </c>
      <c r="C543" s="43">
        <v>1800</v>
      </c>
      <c r="D543" s="43">
        <v>289</v>
      </c>
      <c r="E543" s="43">
        <f t="shared" si="32"/>
        <v>40.717070551180576</v>
      </c>
      <c r="F543" s="43">
        <f t="shared" si="33"/>
        <v>5.08</v>
      </c>
      <c r="G543" s="43">
        <f t="shared" si="34"/>
        <v>12410.563103999841</v>
      </c>
      <c r="H543" s="43">
        <f t="shared" si="35"/>
        <v>78.448222595274586</v>
      </c>
      <c r="I543" s="42"/>
    </row>
    <row r="544" spans="1:9" ht="12.75" customHeight="1">
      <c r="A544" s="43">
        <v>150</v>
      </c>
      <c r="B544" s="43">
        <v>2</v>
      </c>
      <c r="C544" s="43">
        <v>1900</v>
      </c>
      <c r="D544" s="43">
        <v>294</v>
      </c>
      <c r="E544" s="43">
        <f t="shared" si="32"/>
        <v>40.717070551180576</v>
      </c>
      <c r="F544" s="43">
        <f t="shared" si="33"/>
        <v>5.08</v>
      </c>
      <c r="G544" s="43">
        <f t="shared" si="34"/>
        <v>13100.038831999833</v>
      </c>
      <c r="H544" s="43">
        <f t="shared" si="35"/>
        <v>79.805458280313928</v>
      </c>
      <c r="I544" s="42"/>
    </row>
    <row r="545" spans="1:9" ht="12.75" customHeight="1">
      <c r="A545" s="43">
        <v>150</v>
      </c>
      <c r="B545" s="43">
        <v>2</v>
      </c>
      <c r="C545" s="43">
        <v>2000</v>
      </c>
      <c r="D545" s="43">
        <v>299</v>
      </c>
      <c r="E545" s="43">
        <f t="shared" si="32"/>
        <v>40.717070551180576</v>
      </c>
      <c r="F545" s="43">
        <f t="shared" si="33"/>
        <v>5.08</v>
      </c>
      <c r="G545" s="43">
        <f t="shared" si="34"/>
        <v>13789.514559999823</v>
      </c>
      <c r="H545" s="43">
        <f t="shared" si="35"/>
        <v>81.162693965353284</v>
      </c>
      <c r="I545" s="42"/>
    </row>
    <row r="546" spans="1:9" ht="12.75" customHeight="1">
      <c r="A546" s="43">
        <v>150</v>
      </c>
      <c r="B546" s="43">
        <v>3</v>
      </c>
      <c r="C546" s="43">
        <v>50</v>
      </c>
      <c r="D546" s="43">
        <v>192</v>
      </c>
      <c r="E546" s="43">
        <f t="shared" si="32"/>
        <v>40.717070551180576</v>
      </c>
      <c r="F546" s="43">
        <f t="shared" si="33"/>
        <v>7.62</v>
      </c>
      <c r="G546" s="43">
        <f t="shared" si="34"/>
        <v>344.73786399999557</v>
      </c>
      <c r="H546" s="43">
        <f t="shared" si="35"/>
        <v>52.117850305511141</v>
      </c>
      <c r="I546" s="42"/>
    </row>
    <row r="547" spans="1:9" ht="12.75" customHeight="1">
      <c r="A547" s="43">
        <v>150</v>
      </c>
      <c r="B547" s="43">
        <v>3</v>
      </c>
      <c r="C547" s="43">
        <v>60</v>
      </c>
      <c r="D547" s="43">
        <v>194.6</v>
      </c>
      <c r="E547" s="43">
        <f t="shared" si="32"/>
        <v>40.717070551180576</v>
      </c>
      <c r="F547" s="43">
        <f t="shared" si="33"/>
        <v>7.62</v>
      </c>
      <c r="G547" s="43">
        <f t="shared" si="34"/>
        <v>413.6854367999947</v>
      </c>
      <c r="H547" s="43">
        <f t="shared" si="35"/>
        <v>52.823612861731604</v>
      </c>
      <c r="I547" s="42"/>
    </row>
    <row r="548" spans="1:9" ht="12.75" customHeight="1">
      <c r="A548" s="43">
        <v>150</v>
      </c>
      <c r="B548" s="43">
        <v>3</v>
      </c>
      <c r="C548" s="43">
        <v>70</v>
      </c>
      <c r="D548" s="43">
        <v>197.2</v>
      </c>
      <c r="E548" s="43">
        <f t="shared" si="32"/>
        <v>40.717070551180576</v>
      </c>
      <c r="F548" s="43">
        <f t="shared" si="33"/>
        <v>7.62</v>
      </c>
      <c r="G548" s="43">
        <f t="shared" si="34"/>
        <v>482.63300959999384</v>
      </c>
      <c r="H548" s="43">
        <f t="shared" si="35"/>
        <v>53.52937541795206</v>
      </c>
      <c r="I548" s="42"/>
    </row>
    <row r="549" spans="1:9" ht="12.75" customHeight="1">
      <c r="A549" s="43">
        <v>150</v>
      </c>
      <c r="B549" s="43">
        <v>3</v>
      </c>
      <c r="C549" s="43">
        <v>80</v>
      </c>
      <c r="D549" s="43">
        <v>199.79999999999998</v>
      </c>
      <c r="E549" s="43">
        <f t="shared" si="32"/>
        <v>40.717070551180576</v>
      </c>
      <c r="F549" s="43">
        <f t="shared" si="33"/>
        <v>7.62</v>
      </c>
      <c r="G549" s="43">
        <f t="shared" si="34"/>
        <v>551.58058239999298</v>
      </c>
      <c r="H549" s="43">
        <f t="shared" si="35"/>
        <v>54.235137974172531</v>
      </c>
      <c r="I549" s="42"/>
    </row>
    <row r="550" spans="1:9" ht="12.75" customHeight="1">
      <c r="A550" s="43">
        <v>150</v>
      </c>
      <c r="B550" s="43">
        <v>3</v>
      </c>
      <c r="C550" s="43">
        <v>90</v>
      </c>
      <c r="D550" s="43">
        <v>202.39999999999998</v>
      </c>
      <c r="E550" s="43">
        <f t="shared" si="32"/>
        <v>40.717070551180576</v>
      </c>
      <c r="F550" s="43">
        <f t="shared" si="33"/>
        <v>7.62</v>
      </c>
      <c r="G550" s="43">
        <f t="shared" si="34"/>
        <v>620.52815519999206</v>
      </c>
      <c r="H550" s="43">
        <f t="shared" si="35"/>
        <v>54.940900530392987</v>
      </c>
      <c r="I550" s="42"/>
    </row>
    <row r="551" spans="1:9" ht="12.75" customHeight="1">
      <c r="A551" s="43">
        <v>150</v>
      </c>
      <c r="B551" s="43">
        <v>3</v>
      </c>
      <c r="C551" s="43">
        <v>100</v>
      </c>
      <c r="D551" s="43">
        <v>205</v>
      </c>
      <c r="E551" s="43">
        <f t="shared" si="32"/>
        <v>40.717070551180576</v>
      </c>
      <c r="F551" s="43">
        <f t="shared" si="33"/>
        <v>7.62</v>
      </c>
      <c r="G551" s="43">
        <f t="shared" si="34"/>
        <v>689.47572799999114</v>
      </c>
      <c r="H551" s="43">
        <f t="shared" si="35"/>
        <v>55.646663086613458</v>
      </c>
      <c r="I551" s="42"/>
    </row>
    <row r="552" spans="1:9" ht="12.75" customHeight="1">
      <c r="A552" s="43">
        <v>150</v>
      </c>
      <c r="B552" s="43">
        <v>3</v>
      </c>
      <c r="C552" s="43">
        <v>150</v>
      </c>
      <c r="D552" s="43">
        <v>214</v>
      </c>
      <c r="E552" s="43">
        <f t="shared" si="32"/>
        <v>40.717070551180576</v>
      </c>
      <c r="F552" s="43">
        <f t="shared" si="33"/>
        <v>7.62</v>
      </c>
      <c r="G552" s="43">
        <f t="shared" si="34"/>
        <v>1034.2135919999869</v>
      </c>
      <c r="H552" s="43">
        <f t="shared" si="35"/>
        <v>58.089687319684295</v>
      </c>
      <c r="I552" s="42"/>
    </row>
    <row r="553" spans="1:9" ht="12.75" customHeight="1">
      <c r="A553" s="43">
        <v>150</v>
      </c>
      <c r="B553" s="43">
        <v>3</v>
      </c>
      <c r="C553" s="43">
        <v>200</v>
      </c>
      <c r="D553" s="43">
        <v>223</v>
      </c>
      <c r="E553" s="43">
        <f t="shared" si="32"/>
        <v>40.717070551180576</v>
      </c>
      <c r="F553" s="43">
        <f t="shared" si="33"/>
        <v>7.62</v>
      </c>
      <c r="G553" s="43">
        <f t="shared" si="34"/>
        <v>1378.9514559999823</v>
      </c>
      <c r="H553" s="43">
        <f t="shared" si="35"/>
        <v>60.532711552755124</v>
      </c>
      <c r="I553" s="42"/>
    </row>
    <row r="554" spans="1:9" ht="12.75" customHeight="1">
      <c r="A554" s="43">
        <v>150</v>
      </c>
      <c r="B554" s="43">
        <v>3</v>
      </c>
      <c r="C554" s="43">
        <v>250</v>
      </c>
      <c r="D554" s="43">
        <v>232</v>
      </c>
      <c r="E554" s="43">
        <f t="shared" si="32"/>
        <v>40.717070551180576</v>
      </c>
      <c r="F554" s="43">
        <f t="shared" si="33"/>
        <v>7.62</v>
      </c>
      <c r="G554" s="43">
        <f t="shared" si="34"/>
        <v>1723.6893199999779</v>
      </c>
      <c r="H554" s="43">
        <f t="shared" si="35"/>
        <v>62.975735785825968</v>
      </c>
      <c r="I554" s="42"/>
    </row>
    <row r="555" spans="1:9" ht="12.75" customHeight="1">
      <c r="A555" s="43">
        <v>150</v>
      </c>
      <c r="B555" s="43">
        <v>3</v>
      </c>
      <c r="C555" s="43">
        <v>300</v>
      </c>
      <c r="D555" s="43">
        <v>241</v>
      </c>
      <c r="E555" s="43">
        <f t="shared" si="32"/>
        <v>40.717070551180576</v>
      </c>
      <c r="F555" s="43">
        <f t="shared" si="33"/>
        <v>7.62</v>
      </c>
      <c r="G555" s="43">
        <f t="shared" si="34"/>
        <v>2068.4271839999737</v>
      </c>
      <c r="H555" s="43">
        <f t="shared" si="35"/>
        <v>65.418760018896791</v>
      </c>
      <c r="I555" s="42"/>
    </row>
    <row r="556" spans="1:9" ht="12.75" customHeight="1">
      <c r="A556" s="43">
        <v>150</v>
      </c>
      <c r="B556" s="43">
        <v>3</v>
      </c>
      <c r="C556" s="43">
        <v>350</v>
      </c>
      <c r="D556" s="43">
        <v>248.5</v>
      </c>
      <c r="E556" s="43">
        <f t="shared" si="32"/>
        <v>40.717070551180576</v>
      </c>
      <c r="F556" s="43">
        <f t="shared" si="33"/>
        <v>7.62</v>
      </c>
      <c r="G556" s="43">
        <f t="shared" si="34"/>
        <v>2413.1650479999689</v>
      </c>
      <c r="H556" s="43">
        <f t="shared" si="35"/>
        <v>67.454613546455832</v>
      </c>
      <c r="I556" s="42"/>
    </row>
    <row r="557" spans="1:9" ht="12.75" customHeight="1">
      <c r="A557" s="43">
        <v>150</v>
      </c>
      <c r="B557" s="43">
        <v>3</v>
      </c>
      <c r="C557" s="43">
        <v>400</v>
      </c>
      <c r="D557" s="43">
        <v>256</v>
      </c>
      <c r="E557" s="43">
        <f t="shared" si="32"/>
        <v>40.717070551180576</v>
      </c>
      <c r="F557" s="43">
        <f t="shared" si="33"/>
        <v>7.62</v>
      </c>
      <c r="G557" s="43">
        <f t="shared" si="34"/>
        <v>2757.9029119999645</v>
      </c>
      <c r="H557" s="43">
        <f t="shared" si="35"/>
        <v>69.490467074014859</v>
      </c>
      <c r="I557" s="42"/>
    </row>
    <row r="558" spans="1:9" ht="12.75" customHeight="1">
      <c r="A558" s="43">
        <v>150</v>
      </c>
      <c r="B558" s="43">
        <v>3</v>
      </c>
      <c r="C558" s="43">
        <v>450</v>
      </c>
      <c r="D558" s="43">
        <v>263.5</v>
      </c>
      <c r="E558" s="43">
        <f t="shared" si="32"/>
        <v>40.717070551180576</v>
      </c>
      <c r="F558" s="43">
        <f t="shared" si="33"/>
        <v>7.62</v>
      </c>
      <c r="G558" s="43">
        <f t="shared" si="34"/>
        <v>3102.6407759999602</v>
      </c>
      <c r="H558" s="43">
        <f t="shared" si="35"/>
        <v>71.526320601573886</v>
      </c>
      <c r="I558" s="42"/>
    </row>
    <row r="559" spans="1:9" ht="12.75" customHeight="1">
      <c r="A559" s="43">
        <v>150</v>
      </c>
      <c r="B559" s="43">
        <v>3</v>
      </c>
      <c r="C559" s="43">
        <v>500</v>
      </c>
      <c r="D559" s="43">
        <v>271</v>
      </c>
      <c r="E559" s="43">
        <f t="shared" si="32"/>
        <v>40.717070551180576</v>
      </c>
      <c r="F559" s="43">
        <f t="shared" si="33"/>
        <v>7.62</v>
      </c>
      <c r="G559" s="43">
        <f t="shared" si="34"/>
        <v>3447.3786399999558</v>
      </c>
      <c r="H559" s="43">
        <f t="shared" si="35"/>
        <v>73.562174129132913</v>
      </c>
      <c r="I559" s="42"/>
    </row>
    <row r="560" spans="1:9" ht="12.75" customHeight="1">
      <c r="A560" s="43">
        <v>150</v>
      </c>
      <c r="B560" s="43">
        <v>3</v>
      </c>
      <c r="C560" s="43">
        <v>550</v>
      </c>
      <c r="D560" s="43">
        <v>278.10000000000002</v>
      </c>
      <c r="E560" s="43">
        <f t="shared" si="32"/>
        <v>40.717070551180576</v>
      </c>
      <c r="F560" s="43">
        <f t="shared" si="33"/>
        <v>7.62</v>
      </c>
      <c r="G560" s="43">
        <f t="shared" si="34"/>
        <v>3792.1165039999514</v>
      </c>
      <c r="H560" s="43">
        <f t="shared" si="35"/>
        <v>75.489448801888798</v>
      </c>
      <c r="I560" s="42"/>
    </row>
    <row r="561" spans="1:9" ht="12.75" customHeight="1">
      <c r="A561" s="43">
        <v>150</v>
      </c>
      <c r="B561" s="43">
        <v>3</v>
      </c>
      <c r="C561" s="43">
        <v>600</v>
      </c>
      <c r="D561" s="43">
        <v>285.20000000000005</v>
      </c>
      <c r="E561" s="43">
        <f t="shared" si="32"/>
        <v>40.717070551180576</v>
      </c>
      <c r="F561" s="43">
        <f t="shared" si="33"/>
        <v>7.62</v>
      </c>
      <c r="G561" s="43">
        <f t="shared" si="34"/>
        <v>4136.8543679999475</v>
      </c>
      <c r="H561" s="43">
        <f t="shared" si="35"/>
        <v>77.416723474644684</v>
      </c>
      <c r="I561" s="42"/>
    </row>
    <row r="562" spans="1:9" ht="12.75" customHeight="1">
      <c r="A562" s="43">
        <v>150</v>
      </c>
      <c r="B562" s="43">
        <v>3</v>
      </c>
      <c r="C562" s="43">
        <v>650</v>
      </c>
      <c r="D562" s="43">
        <v>292.30000000000007</v>
      </c>
      <c r="E562" s="43">
        <f t="shared" si="32"/>
        <v>40.717070551180576</v>
      </c>
      <c r="F562" s="43">
        <f t="shared" si="33"/>
        <v>7.62</v>
      </c>
      <c r="G562" s="43">
        <f t="shared" si="34"/>
        <v>4481.5922319999427</v>
      </c>
      <c r="H562" s="43">
        <f t="shared" si="35"/>
        <v>79.343998147400569</v>
      </c>
      <c r="I562" s="42"/>
    </row>
    <row r="563" spans="1:9" ht="12.75" customHeight="1">
      <c r="A563" s="43">
        <v>150</v>
      </c>
      <c r="B563" s="43">
        <v>3</v>
      </c>
      <c r="C563" s="43">
        <v>700</v>
      </c>
      <c r="D563" s="43">
        <v>299.40000000000009</v>
      </c>
      <c r="E563" s="43">
        <f t="shared" si="32"/>
        <v>40.717070551180576</v>
      </c>
      <c r="F563" s="43">
        <f t="shared" si="33"/>
        <v>7.62</v>
      </c>
      <c r="G563" s="43">
        <f t="shared" si="34"/>
        <v>4826.3300959999378</v>
      </c>
      <c r="H563" s="43">
        <f t="shared" si="35"/>
        <v>81.271272820156454</v>
      </c>
      <c r="I563" s="42"/>
    </row>
    <row r="564" spans="1:9" ht="12.75" customHeight="1">
      <c r="A564" s="43">
        <v>150</v>
      </c>
      <c r="B564" s="43">
        <v>3</v>
      </c>
      <c r="C564" s="43">
        <v>750</v>
      </c>
      <c r="D564" s="43">
        <v>306.50000000000011</v>
      </c>
      <c r="E564" s="43">
        <f t="shared" si="32"/>
        <v>40.717070551180576</v>
      </c>
      <c r="F564" s="43">
        <f t="shared" si="33"/>
        <v>7.62</v>
      </c>
      <c r="G564" s="43">
        <f t="shared" si="34"/>
        <v>5171.0679599999339</v>
      </c>
      <c r="H564" s="43">
        <f t="shared" si="35"/>
        <v>83.19854749291234</v>
      </c>
      <c r="I564" s="42"/>
    </row>
    <row r="565" spans="1:9" ht="12.75" customHeight="1">
      <c r="A565" s="43">
        <v>150</v>
      </c>
      <c r="B565" s="43">
        <v>3</v>
      </c>
      <c r="C565" s="43">
        <v>800</v>
      </c>
      <c r="D565" s="43">
        <v>313.60000000000014</v>
      </c>
      <c r="E565" s="43">
        <f t="shared" si="32"/>
        <v>40.717070551180576</v>
      </c>
      <c r="F565" s="43">
        <f t="shared" si="33"/>
        <v>7.62</v>
      </c>
      <c r="G565" s="43">
        <f t="shared" si="34"/>
        <v>5515.8058239999291</v>
      </c>
      <c r="H565" s="43">
        <f t="shared" si="35"/>
        <v>85.125822165668239</v>
      </c>
      <c r="I565" s="42"/>
    </row>
    <row r="566" spans="1:9" ht="12.75" customHeight="1">
      <c r="A566" s="43">
        <v>150</v>
      </c>
      <c r="B566" s="43">
        <v>3</v>
      </c>
      <c r="C566" s="43">
        <v>850</v>
      </c>
      <c r="D566" s="43">
        <v>320.70000000000016</v>
      </c>
      <c r="E566" s="43">
        <f t="shared" si="32"/>
        <v>40.717070551180576</v>
      </c>
      <c r="F566" s="43">
        <f t="shared" si="33"/>
        <v>7.62</v>
      </c>
      <c r="G566" s="43">
        <f t="shared" si="34"/>
        <v>5860.5436879999252</v>
      </c>
      <c r="H566" s="43">
        <f t="shared" si="35"/>
        <v>87.053096838424125</v>
      </c>
      <c r="I566" s="42"/>
    </row>
    <row r="567" spans="1:9" ht="12.75" customHeight="1">
      <c r="A567" s="43">
        <v>150</v>
      </c>
      <c r="B567" s="43">
        <v>3</v>
      </c>
      <c r="C567" s="43">
        <v>900</v>
      </c>
      <c r="D567" s="43">
        <v>327.80000000000018</v>
      </c>
      <c r="E567" s="43">
        <f t="shared" si="32"/>
        <v>40.717070551180576</v>
      </c>
      <c r="F567" s="43">
        <f t="shared" si="33"/>
        <v>7.62</v>
      </c>
      <c r="G567" s="43">
        <f t="shared" si="34"/>
        <v>6205.2815519999203</v>
      </c>
      <c r="H567" s="43">
        <f t="shared" si="35"/>
        <v>88.98037151118001</v>
      </c>
      <c r="I567" s="42"/>
    </row>
    <row r="568" spans="1:9" ht="12.75" customHeight="1">
      <c r="A568" s="43">
        <v>150</v>
      </c>
      <c r="B568" s="43">
        <v>3</v>
      </c>
      <c r="C568" s="43">
        <v>950</v>
      </c>
      <c r="D568" s="43">
        <v>334.9000000000002</v>
      </c>
      <c r="E568" s="43">
        <f t="shared" si="32"/>
        <v>40.717070551180576</v>
      </c>
      <c r="F568" s="43">
        <f t="shared" si="33"/>
        <v>7.62</v>
      </c>
      <c r="G568" s="43">
        <f t="shared" si="34"/>
        <v>6550.0194159999164</v>
      </c>
      <c r="H568" s="43">
        <f t="shared" si="35"/>
        <v>90.907646183935896</v>
      </c>
      <c r="I568" s="42"/>
    </row>
    <row r="569" spans="1:9" ht="12.75" customHeight="1">
      <c r="A569" s="43">
        <v>150</v>
      </c>
      <c r="B569" s="43">
        <v>3</v>
      </c>
      <c r="C569" s="43">
        <v>1000</v>
      </c>
      <c r="D569" s="43">
        <v>342</v>
      </c>
      <c r="E569" s="43">
        <f t="shared" si="32"/>
        <v>40.717070551180576</v>
      </c>
      <c r="F569" s="43">
        <f t="shared" si="33"/>
        <v>7.62</v>
      </c>
      <c r="G569" s="43">
        <f t="shared" si="34"/>
        <v>6894.7572799999116</v>
      </c>
      <c r="H569" s="43">
        <f t="shared" si="35"/>
        <v>92.834920856691724</v>
      </c>
      <c r="I569" s="42"/>
    </row>
    <row r="570" spans="1:9" ht="12.75" customHeight="1">
      <c r="A570" s="43">
        <v>150</v>
      </c>
      <c r="B570" s="43">
        <v>3</v>
      </c>
      <c r="C570" s="43">
        <v>1100</v>
      </c>
      <c r="D570" s="43">
        <v>354.1</v>
      </c>
      <c r="E570" s="43">
        <f t="shared" si="32"/>
        <v>40.717070551180576</v>
      </c>
      <c r="F570" s="43">
        <f t="shared" si="33"/>
        <v>7.62</v>
      </c>
      <c r="G570" s="43">
        <f t="shared" si="34"/>
        <v>7584.2330079999028</v>
      </c>
      <c r="H570" s="43">
        <f t="shared" si="35"/>
        <v>96.119431214486966</v>
      </c>
      <c r="I570" s="42"/>
    </row>
    <row r="571" spans="1:9" ht="12.75" customHeight="1">
      <c r="A571" s="43">
        <v>150</v>
      </c>
      <c r="B571" s="43">
        <v>3</v>
      </c>
      <c r="C571" s="43">
        <v>1200</v>
      </c>
      <c r="D571" s="43">
        <v>366.20000000000005</v>
      </c>
      <c r="E571" s="43">
        <f t="shared" si="32"/>
        <v>40.717070551180576</v>
      </c>
      <c r="F571" s="43">
        <f t="shared" si="33"/>
        <v>7.62</v>
      </c>
      <c r="G571" s="43">
        <f t="shared" si="34"/>
        <v>8273.708735999895</v>
      </c>
      <c r="H571" s="43">
        <f t="shared" si="35"/>
        <v>99.403941572282207</v>
      </c>
      <c r="I571" s="42"/>
    </row>
    <row r="572" spans="1:9" ht="12.75" customHeight="1">
      <c r="A572" s="43">
        <v>150</v>
      </c>
      <c r="B572" s="43">
        <v>3</v>
      </c>
      <c r="C572" s="43">
        <v>1300</v>
      </c>
      <c r="D572" s="43">
        <v>378.30000000000007</v>
      </c>
      <c r="E572" s="43">
        <f t="shared" si="32"/>
        <v>40.717070551180576</v>
      </c>
      <c r="F572" s="43">
        <f t="shared" si="33"/>
        <v>7.62</v>
      </c>
      <c r="G572" s="43">
        <f t="shared" si="34"/>
        <v>8963.1844639998853</v>
      </c>
      <c r="H572" s="43">
        <f t="shared" si="35"/>
        <v>102.68845193007745</v>
      </c>
      <c r="I572" s="42"/>
    </row>
    <row r="573" spans="1:9" ht="12.75" customHeight="1">
      <c r="A573" s="43">
        <v>150</v>
      </c>
      <c r="B573" s="43">
        <v>3</v>
      </c>
      <c r="C573" s="43">
        <v>1400</v>
      </c>
      <c r="D573" s="43">
        <v>390.40000000000009</v>
      </c>
      <c r="E573" s="43">
        <f t="shared" si="32"/>
        <v>40.717070551180576</v>
      </c>
      <c r="F573" s="43">
        <f t="shared" si="33"/>
        <v>7.62</v>
      </c>
      <c r="G573" s="43">
        <f t="shared" si="34"/>
        <v>9652.6601919998757</v>
      </c>
      <c r="H573" s="43">
        <f t="shared" si="35"/>
        <v>105.97296228787269</v>
      </c>
      <c r="I573" s="42"/>
    </row>
    <row r="574" spans="1:9" ht="12.75" customHeight="1">
      <c r="A574" s="43">
        <v>150</v>
      </c>
      <c r="B574" s="43">
        <v>3</v>
      </c>
      <c r="C574" s="43">
        <v>1500</v>
      </c>
      <c r="D574" s="43">
        <v>402.50000000000011</v>
      </c>
      <c r="E574" s="43">
        <f t="shared" si="32"/>
        <v>40.717070551180576</v>
      </c>
      <c r="F574" s="43">
        <f t="shared" si="33"/>
        <v>7.62</v>
      </c>
      <c r="G574" s="43">
        <f t="shared" si="34"/>
        <v>10342.135919999868</v>
      </c>
      <c r="H574" s="43">
        <f t="shared" si="35"/>
        <v>109.25747264566793</v>
      </c>
      <c r="I574" s="42"/>
    </row>
    <row r="575" spans="1:9" ht="12.75" customHeight="1">
      <c r="A575" s="43">
        <v>150</v>
      </c>
      <c r="B575" s="43">
        <v>3</v>
      </c>
      <c r="C575" s="43">
        <v>1600</v>
      </c>
      <c r="D575" s="43">
        <v>414.60000000000014</v>
      </c>
      <c r="E575" s="43">
        <f t="shared" si="32"/>
        <v>40.717070551180576</v>
      </c>
      <c r="F575" s="43">
        <f t="shared" si="33"/>
        <v>7.62</v>
      </c>
      <c r="G575" s="43">
        <f t="shared" si="34"/>
        <v>11031.611647999858</v>
      </c>
      <c r="H575" s="43">
        <f t="shared" si="35"/>
        <v>112.54198300346316</v>
      </c>
      <c r="I575" s="42"/>
    </row>
    <row r="576" spans="1:9" ht="12.75" customHeight="1">
      <c r="A576" s="43">
        <v>150</v>
      </c>
      <c r="B576" s="43">
        <v>3</v>
      </c>
      <c r="C576" s="43">
        <v>1700</v>
      </c>
      <c r="D576" s="43">
        <v>426.70000000000016</v>
      </c>
      <c r="E576" s="43">
        <f t="shared" si="32"/>
        <v>40.717070551180576</v>
      </c>
      <c r="F576" s="43">
        <f t="shared" si="33"/>
        <v>7.62</v>
      </c>
      <c r="G576" s="43">
        <f t="shared" si="34"/>
        <v>11721.08737599985</v>
      </c>
      <c r="H576" s="43">
        <f t="shared" si="35"/>
        <v>115.8264933612584</v>
      </c>
      <c r="I576" s="42"/>
    </row>
    <row r="577" spans="1:9" ht="12.75" customHeight="1">
      <c r="A577" s="43">
        <v>150</v>
      </c>
      <c r="B577" s="43">
        <v>3</v>
      </c>
      <c r="C577" s="43">
        <v>1800</v>
      </c>
      <c r="D577" s="43">
        <v>438.80000000000018</v>
      </c>
      <c r="E577" s="43">
        <f t="shared" si="32"/>
        <v>40.717070551180576</v>
      </c>
      <c r="F577" s="43">
        <f t="shared" si="33"/>
        <v>7.62</v>
      </c>
      <c r="G577" s="43">
        <f t="shared" si="34"/>
        <v>12410.563103999841</v>
      </c>
      <c r="H577" s="43">
        <f t="shared" si="35"/>
        <v>119.11100371905363</v>
      </c>
      <c r="I577" s="42"/>
    </row>
    <row r="578" spans="1:9" ht="12.75" customHeight="1">
      <c r="A578" s="43">
        <v>150</v>
      </c>
      <c r="B578" s="43">
        <v>3</v>
      </c>
      <c r="C578" s="43">
        <v>1900</v>
      </c>
      <c r="D578" s="43">
        <v>450.9000000000002</v>
      </c>
      <c r="E578" s="43">
        <f t="shared" si="32"/>
        <v>40.717070551180576</v>
      </c>
      <c r="F578" s="43">
        <f t="shared" si="33"/>
        <v>7.62</v>
      </c>
      <c r="G578" s="43">
        <f t="shared" si="34"/>
        <v>13100.038831999833</v>
      </c>
      <c r="H578" s="43">
        <f t="shared" si="35"/>
        <v>122.39551407684887</v>
      </c>
      <c r="I578" s="42"/>
    </row>
    <row r="579" spans="1:9" ht="12.75" customHeight="1">
      <c r="A579" s="43">
        <v>150</v>
      </c>
      <c r="B579" s="43">
        <v>3</v>
      </c>
      <c r="C579" s="43">
        <v>2000</v>
      </c>
      <c r="D579" s="43">
        <v>463</v>
      </c>
      <c r="E579" s="43">
        <f t="shared" ref="E579:E642" si="36">A579/145.03773800722/0.0254</f>
        <v>40.717070551180576</v>
      </c>
      <c r="F579" s="43">
        <f t="shared" ref="F579:F642" si="37">B579*2.54</f>
        <v>7.62</v>
      </c>
      <c r="G579" s="43">
        <f t="shared" ref="G579:G642" si="38">C579/0.14503773800722</f>
        <v>13789.514559999823</v>
      </c>
      <c r="H579" s="43">
        <f t="shared" ref="H579:H642" si="39">D579/145.03773800722/0.0254</f>
        <v>125.68002443464405</v>
      </c>
      <c r="I579" s="42"/>
    </row>
    <row r="580" spans="1:9" ht="12.75" customHeight="1">
      <c r="A580" s="43">
        <v>150</v>
      </c>
      <c r="B580" s="43">
        <v>4</v>
      </c>
      <c r="C580" s="43">
        <v>50</v>
      </c>
      <c r="D580" s="43">
        <v>204</v>
      </c>
      <c r="E580" s="43">
        <f t="shared" si="36"/>
        <v>40.717070551180576</v>
      </c>
      <c r="F580" s="43">
        <f t="shared" si="37"/>
        <v>10.16</v>
      </c>
      <c r="G580" s="43">
        <f t="shared" si="38"/>
        <v>344.73786399999557</v>
      </c>
      <c r="H580" s="43">
        <f t="shared" si="39"/>
        <v>55.375215949605582</v>
      </c>
      <c r="I580" s="42"/>
    </row>
    <row r="581" spans="1:9" ht="12.75" customHeight="1">
      <c r="A581" s="43">
        <v>150</v>
      </c>
      <c r="B581" s="43">
        <v>4</v>
      </c>
      <c r="C581" s="43">
        <v>60</v>
      </c>
      <c r="D581" s="43">
        <v>208</v>
      </c>
      <c r="E581" s="43">
        <f t="shared" si="36"/>
        <v>40.717070551180576</v>
      </c>
      <c r="F581" s="43">
        <f t="shared" si="37"/>
        <v>10.16</v>
      </c>
      <c r="G581" s="43">
        <f t="shared" si="38"/>
        <v>413.6854367999947</v>
      </c>
      <c r="H581" s="43">
        <f t="shared" si="39"/>
        <v>56.46100449763707</v>
      </c>
      <c r="I581" s="42"/>
    </row>
    <row r="582" spans="1:9" ht="12.75" customHeight="1">
      <c r="A582" s="43">
        <v>150</v>
      </c>
      <c r="B582" s="43">
        <v>4</v>
      </c>
      <c r="C582" s="43">
        <v>70</v>
      </c>
      <c r="D582" s="43">
        <v>212</v>
      </c>
      <c r="E582" s="43">
        <f t="shared" si="36"/>
        <v>40.717070551180576</v>
      </c>
      <c r="F582" s="43">
        <f t="shared" si="37"/>
        <v>10.16</v>
      </c>
      <c r="G582" s="43">
        <f t="shared" si="38"/>
        <v>482.63300959999384</v>
      </c>
      <c r="H582" s="43">
        <f t="shared" si="39"/>
        <v>57.546793045668551</v>
      </c>
      <c r="I582" s="42"/>
    </row>
    <row r="583" spans="1:9" ht="12.75" customHeight="1">
      <c r="A583" s="43">
        <v>150</v>
      </c>
      <c r="B583" s="43">
        <v>4</v>
      </c>
      <c r="C583" s="43">
        <v>80</v>
      </c>
      <c r="D583" s="43">
        <v>216</v>
      </c>
      <c r="E583" s="43">
        <f t="shared" si="36"/>
        <v>40.717070551180576</v>
      </c>
      <c r="F583" s="43">
        <f t="shared" si="37"/>
        <v>10.16</v>
      </c>
      <c r="G583" s="43">
        <f t="shared" si="38"/>
        <v>551.58058239999298</v>
      </c>
      <c r="H583" s="43">
        <f t="shared" si="39"/>
        <v>58.632581593700039</v>
      </c>
      <c r="I583" s="42"/>
    </row>
    <row r="584" spans="1:9" ht="12.75" customHeight="1">
      <c r="A584" s="43">
        <v>150</v>
      </c>
      <c r="B584" s="43">
        <v>4</v>
      </c>
      <c r="C584" s="43">
        <v>90</v>
      </c>
      <c r="D584" s="43">
        <v>220</v>
      </c>
      <c r="E584" s="43">
        <f t="shared" si="36"/>
        <v>40.717070551180576</v>
      </c>
      <c r="F584" s="43">
        <f t="shared" si="37"/>
        <v>10.16</v>
      </c>
      <c r="G584" s="43">
        <f t="shared" si="38"/>
        <v>620.52815519999206</v>
      </c>
      <c r="H584" s="43">
        <f t="shared" si="39"/>
        <v>59.718370141731512</v>
      </c>
      <c r="I584" s="42"/>
    </row>
    <row r="585" spans="1:9" ht="12.75" customHeight="1">
      <c r="A585" s="43">
        <v>150</v>
      </c>
      <c r="B585" s="43">
        <v>4</v>
      </c>
      <c r="C585" s="43">
        <v>100</v>
      </c>
      <c r="D585" s="43">
        <v>224</v>
      </c>
      <c r="E585" s="43">
        <f t="shared" si="36"/>
        <v>40.717070551180576</v>
      </c>
      <c r="F585" s="43">
        <f t="shared" si="37"/>
        <v>10.16</v>
      </c>
      <c r="G585" s="43">
        <f t="shared" si="38"/>
        <v>689.47572799999114</v>
      </c>
      <c r="H585" s="43">
        <f t="shared" si="39"/>
        <v>60.804158689763</v>
      </c>
      <c r="I585" s="42"/>
    </row>
    <row r="586" spans="1:9" ht="12.75" customHeight="1">
      <c r="A586" s="43">
        <v>150</v>
      </c>
      <c r="B586" s="43">
        <v>4</v>
      </c>
      <c r="C586" s="43">
        <v>150</v>
      </c>
      <c r="D586" s="43">
        <v>239.75</v>
      </c>
      <c r="E586" s="43">
        <f t="shared" si="36"/>
        <v>40.717070551180576</v>
      </c>
      <c r="F586" s="43">
        <f t="shared" si="37"/>
        <v>10.16</v>
      </c>
      <c r="G586" s="43">
        <f t="shared" si="38"/>
        <v>1034.2135919999869</v>
      </c>
      <c r="H586" s="43">
        <f t="shared" si="39"/>
        <v>65.079451097636962</v>
      </c>
      <c r="I586" s="42"/>
    </row>
    <row r="587" spans="1:9" ht="12.75" customHeight="1">
      <c r="A587" s="43">
        <v>150</v>
      </c>
      <c r="B587" s="43">
        <v>4</v>
      </c>
      <c r="C587" s="43">
        <v>200</v>
      </c>
      <c r="D587" s="43">
        <v>255.5</v>
      </c>
      <c r="E587" s="43">
        <f t="shared" si="36"/>
        <v>40.717070551180576</v>
      </c>
      <c r="F587" s="43">
        <f t="shared" si="37"/>
        <v>10.16</v>
      </c>
      <c r="G587" s="43">
        <f t="shared" si="38"/>
        <v>1378.9514559999823</v>
      </c>
      <c r="H587" s="43">
        <f t="shared" si="39"/>
        <v>69.354743505510925</v>
      </c>
      <c r="I587" s="42"/>
    </row>
    <row r="588" spans="1:9" ht="12.75" customHeight="1">
      <c r="A588" s="43">
        <v>150</v>
      </c>
      <c r="B588" s="43">
        <v>4</v>
      </c>
      <c r="C588" s="43">
        <v>250</v>
      </c>
      <c r="D588" s="43">
        <v>271.25</v>
      </c>
      <c r="E588" s="43">
        <f t="shared" si="36"/>
        <v>40.717070551180576</v>
      </c>
      <c r="F588" s="43">
        <f t="shared" si="37"/>
        <v>10.16</v>
      </c>
      <c r="G588" s="43">
        <f t="shared" si="38"/>
        <v>1723.6893199999779</v>
      </c>
      <c r="H588" s="43">
        <f t="shared" si="39"/>
        <v>73.630035913384887</v>
      </c>
      <c r="I588" s="42"/>
    </row>
    <row r="589" spans="1:9" ht="12.75" customHeight="1">
      <c r="A589" s="43">
        <v>150</v>
      </c>
      <c r="B589" s="43">
        <v>4</v>
      </c>
      <c r="C589" s="43">
        <v>300</v>
      </c>
      <c r="D589" s="43">
        <v>287</v>
      </c>
      <c r="E589" s="43">
        <f t="shared" si="36"/>
        <v>40.717070551180576</v>
      </c>
      <c r="F589" s="43">
        <f t="shared" si="37"/>
        <v>10.16</v>
      </c>
      <c r="G589" s="43">
        <f t="shared" si="38"/>
        <v>2068.4271839999737</v>
      </c>
      <c r="H589" s="43">
        <f t="shared" si="39"/>
        <v>77.905328321258835</v>
      </c>
      <c r="I589" s="42"/>
    </row>
    <row r="590" spans="1:9" ht="12.75" customHeight="1">
      <c r="A590" s="43">
        <v>150</v>
      </c>
      <c r="B590" s="43">
        <v>4</v>
      </c>
      <c r="C590" s="43">
        <v>350</v>
      </c>
      <c r="D590" s="43">
        <v>301.25</v>
      </c>
      <c r="E590" s="43">
        <f t="shared" si="36"/>
        <v>40.717070551180576</v>
      </c>
      <c r="F590" s="43">
        <f t="shared" si="37"/>
        <v>10.16</v>
      </c>
      <c r="G590" s="43">
        <f t="shared" si="38"/>
        <v>2413.1650479999689</v>
      </c>
      <c r="H590" s="43">
        <f t="shared" si="39"/>
        <v>81.773450023620995</v>
      </c>
      <c r="I590" s="42"/>
    </row>
    <row r="591" spans="1:9" ht="12.75" customHeight="1">
      <c r="A591" s="43">
        <v>150</v>
      </c>
      <c r="B591" s="43">
        <v>4</v>
      </c>
      <c r="C591" s="43">
        <v>400</v>
      </c>
      <c r="D591" s="43">
        <v>315.5</v>
      </c>
      <c r="E591" s="43">
        <f t="shared" si="36"/>
        <v>40.717070551180576</v>
      </c>
      <c r="F591" s="43">
        <f t="shared" si="37"/>
        <v>10.16</v>
      </c>
      <c r="G591" s="43">
        <f t="shared" si="38"/>
        <v>2757.9029119999645</v>
      </c>
      <c r="H591" s="43">
        <f t="shared" si="39"/>
        <v>85.641571725983155</v>
      </c>
      <c r="I591" s="42"/>
    </row>
    <row r="592" spans="1:9" ht="12.75" customHeight="1">
      <c r="A592" s="43">
        <v>150</v>
      </c>
      <c r="B592" s="43">
        <v>4</v>
      </c>
      <c r="C592" s="43">
        <v>450</v>
      </c>
      <c r="D592" s="43">
        <v>329.75</v>
      </c>
      <c r="E592" s="43">
        <f t="shared" si="36"/>
        <v>40.717070551180576</v>
      </c>
      <c r="F592" s="43">
        <f t="shared" si="37"/>
        <v>10.16</v>
      </c>
      <c r="G592" s="43">
        <f t="shared" si="38"/>
        <v>3102.6407759999602</v>
      </c>
      <c r="H592" s="43">
        <f t="shared" si="39"/>
        <v>89.509693428345301</v>
      </c>
      <c r="I592" s="42"/>
    </row>
    <row r="593" spans="1:9" ht="12.75" customHeight="1">
      <c r="A593" s="43">
        <v>150</v>
      </c>
      <c r="B593" s="43">
        <v>4</v>
      </c>
      <c r="C593" s="43">
        <v>500</v>
      </c>
      <c r="D593" s="43">
        <v>344</v>
      </c>
      <c r="E593" s="43">
        <f t="shared" si="36"/>
        <v>40.717070551180576</v>
      </c>
      <c r="F593" s="43">
        <f t="shared" si="37"/>
        <v>10.16</v>
      </c>
      <c r="G593" s="43">
        <f t="shared" si="38"/>
        <v>3447.3786399999558</v>
      </c>
      <c r="H593" s="43">
        <f t="shared" si="39"/>
        <v>93.377815130707461</v>
      </c>
      <c r="I593" s="42"/>
    </row>
    <row r="594" spans="1:9" ht="12.75" customHeight="1">
      <c r="A594" s="43">
        <v>150</v>
      </c>
      <c r="B594" s="43">
        <v>4</v>
      </c>
      <c r="C594" s="43">
        <v>550</v>
      </c>
      <c r="D594" s="43">
        <v>356.6</v>
      </c>
      <c r="E594" s="43">
        <f t="shared" si="36"/>
        <v>40.717070551180576</v>
      </c>
      <c r="F594" s="43">
        <f t="shared" si="37"/>
        <v>10.16</v>
      </c>
      <c r="G594" s="43">
        <f t="shared" si="38"/>
        <v>3792.1165039999514</v>
      </c>
      <c r="H594" s="43">
        <f t="shared" si="39"/>
        <v>96.798049057006637</v>
      </c>
      <c r="I594" s="42"/>
    </row>
    <row r="595" spans="1:9" ht="12.75" customHeight="1">
      <c r="A595" s="43">
        <v>150</v>
      </c>
      <c r="B595" s="43">
        <v>4</v>
      </c>
      <c r="C595" s="43">
        <v>600</v>
      </c>
      <c r="D595" s="43">
        <v>369.20000000000005</v>
      </c>
      <c r="E595" s="43">
        <f t="shared" si="36"/>
        <v>40.717070551180576</v>
      </c>
      <c r="F595" s="43">
        <f t="shared" si="37"/>
        <v>10.16</v>
      </c>
      <c r="G595" s="43">
        <f t="shared" si="38"/>
        <v>4136.8543679999475</v>
      </c>
      <c r="H595" s="43">
        <f t="shared" si="39"/>
        <v>100.21828298330581</v>
      </c>
      <c r="I595" s="42"/>
    </row>
    <row r="596" spans="1:9" ht="12.75" customHeight="1">
      <c r="A596" s="43">
        <v>150</v>
      </c>
      <c r="B596" s="43">
        <v>4</v>
      </c>
      <c r="C596" s="43">
        <v>650</v>
      </c>
      <c r="D596" s="43">
        <v>381.80000000000007</v>
      </c>
      <c r="E596" s="43">
        <f t="shared" si="36"/>
        <v>40.717070551180576</v>
      </c>
      <c r="F596" s="43">
        <f t="shared" si="37"/>
        <v>10.16</v>
      </c>
      <c r="G596" s="43">
        <f t="shared" si="38"/>
        <v>4481.5922319999427</v>
      </c>
      <c r="H596" s="43">
        <f t="shared" si="39"/>
        <v>103.63851690960499</v>
      </c>
      <c r="I596" s="42"/>
    </row>
    <row r="597" spans="1:9" ht="12.75" customHeight="1">
      <c r="A597" s="43">
        <v>150</v>
      </c>
      <c r="B597" s="43">
        <v>4</v>
      </c>
      <c r="C597" s="43">
        <v>700</v>
      </c>
      <c r="D597" s="43">
        <v>394.40000000000009</v>
      </c>
      <c r="E597" s="43">
        <f t="shared" si="36"/>
        <v>40.717070551180576</v>
      </c>
      <c r="F597" s="43">
        <f t="shared" si="37"/>
        <v>10.16</v>
      </c>
      <c r="G597" s="43">
        <f t="shared" si="38"/>
        <v>4826.3300959999378</v>
      </c>
      <c r="H597" s="43">
        <f t="shared" si="39"/>
        <v>107.05875083590416</v>
      </c>
      <c r="I597" s="42"/>
    </row>
    <row r="598" spans="1:9" ht="12.75" customHeight="1">
      <c r="A598" s="43">
        <v>150</v>
      </c>
      <c r="B598" s="43">
        <v>4</v>
      </c>
      <c r="C598" s="43">
        <v>750</v>
      </c>
      <c r="D598" s="43">
        <v>407.00000000000011</v>
      </c>
      <c r="E598" s="43">
        <f t="shared" si="36"/>
        <v>40.717070551180576</v>
      </c>
      <c r="F598" s="43">
        <f t="shared" si="37"/>
        <v>10.16</v>
      </c>
      <c r="G598" s="43">
        <f t="shared" si="38"/>
        <v>5171.0679599999339</v>
      </c>
      <c r="H598" s="43">
        <f t="shared" si="39"/>
        <v>110.47898476220332</v>
      </c>
      <c r="I598" s="42"/>
    </row>
    <row r="599" spans="1:9" ht="12.75" customHeight="1">
      <c r="A599" s="43">
        <v>150</v>
      </c>
      <c r="B599" s="43">
        <v>4</v>
      </c>
      <c r="C599" s="43">
        <v>800</v>
      </c>
      <c r="D599" s="43">
        <v>419.60000000000014</v>
      </c>
      <c r="E599" s="43">
        <f t="shared" si="36"/>
        <v>40.717070551180576</v>
      </c>
      <c r="F599" s="43">
        <f t="shared" si="37"/>
        <v>10.16</v>
      </c>
      <c r="G599" s="43">
        <f t="shared" si="38"/>
        <v>5515.8058239999291</v>
      </c>
      <c r="H599" s="43">
        <f t="shared" si="39"/>
        <v>113.89921868850251</v>
      </c>
      <c r="I599" s="42"/>
    </row>
    <row r="600" spans="1:9" ht="12.75" customHeight="1">
      <c r="A600" s="43">
        <v>150</v>
      </c>
      <c r="B600" s="43">
        <v>4</v>
      </c>
      <c r="C600" s="43">
        <v>850</v>
      </c>
      <c r="D600" s="43">
        <v>432.20000000000016</v>
      </c>
      <c r="E600" s="43">
        <f t="shared" si="36"/>
        <v>40.717070551180576</v>
      </c>
      <c r="F600" s="43">
        <f t="shared" si="37"/>
        <v>10.16</v>
      </c>
      <c r="G600" s="43">
        <f t="shared" si="38"/>
        <v>5860.5436879999252</v>
      </c>
      <c r="H600" s="43">
        <f t="shared" si="39"/>
        <v>117.31945261480169</v>
      </c>
      <c r="I600" s="42"/>
    </row>
    <row r="601" spans="1:9" ht="12.75" customHeight="1">
      <c r="A601" s="43">
        <v>150</v>
      </c>
      <c r="B601" s="43">
        <v>4</v>
      </c>
      <c r="C601" s="43">
        <v>900</v>
      </c>
      <c r="D601" s="43">
        <v>444.80000000000018</v>
      </c>
      <c r="E601" s="43">
        <f t="shared" si="36"/>
        <v>40.717070551180576</v>
      </c>
      <c r="F601" s="43">
        <f t="shared" si="37"/>
        <v>10.16</v>
      </c>
      <c r="G601" s="43">
        <f t="shared" si="38"/>
        <v>6205.2815519999203</v>
      </c>
      <c r="H601" s="43">
        <f t="shared" si="39"/>
        <v>120.73968654110085</v>
      </c>
      <c r="I601" s="42"/>
    </row>
    <row r="602" spans="1:9" ht="12.75" customHeight="1">
      <c r="A602" s="43">
        <v>150</v>
      </c>
      <c r="B602" s="43">
        <v>4</v>
      </c>
      <c r="C602" s="43">
        <v>950</v>
      </c>
      <c r="D602" s="43">
        <v>457.4000000000002</v>
      </c>
      <c r="E602" s="43">
        <f t="shared" si="36"/>
        <v>40.717070551180576</v>
      </c>
      <c r="F602" s="43">
        <f t="shared" si="37"/>
        <v>10.16</v>
      </c>
      <c r="G602" s="43">
        <f t="shared" si="38"/>
        <v>6550.0194159999164</v>
      </c>
      <c r="H602" s="43">
        <f t="shared" si="39"/>
        <v>124.15992046740004</v>
      </c>
      <c r="I602" s="42"/>
    </row>
    <row r="603" spans="1:9" ht="12.75" customHeight="1">
      <c r="A603" s="43">
        <v>150</v>
      </c>
      <c r="B603" s="43">
        <v>4</v>
      </c>
      <c r="C603" s="43">
        <v>1000</v>
      </c>
      <c r="D603" s="43">
        <v>470</v>
      </c>
      <c r="E603" s="43">
        <f t="shared" si="36"/>
        <v>40.717070551180576</v>
      </c>
      <c r="F603" s="43">
        <f t="shared" si="37"/>
        <v>10.16</v>
      </c>
      <c r="G603" s="43">
        <f t="shared" si="38"/>
        <v>6894.7572799999116</v>
      </c>
      <c r="H603" s="43">
        <f t="shared" si="39"/>
        <v>127.58015439369915</v>
      </c>
      <c r="I603" s="42"/>
    </row>
    <row r="604" spans="1:9" ht="12.75" customHeight="1">
      <c r="A604" s="43">
        <v>150</v>
      </c>
      <c r="B604" s="43">
        <v>4</v>
      </c>
      <c r="C604" s="43">
        <v>1100</v>
      </c>
      <c r="D604" s="43">
        <v>492.2</v>
      </c>
      <c r="E604" s="43">
        <f t="shared" si="36"/>
        <v>40.717070551180576</v>
      </c>
      <c r="F604" s="43">
        <f t="shared" si="37"/>
        <v>10.16</v>
      </c>
      <c r="G604" s="43">
        <f t="shared" si="38"/>
        <v>7584.2330079999028</v>
      </c>
      <c r="H604" s="43">
        <f t="shared" si="39"/>
        <v>133.60628083527388</v>
      </c>
      <c r="I604" s="42"/>
    </row>
    <row r="605" spans="1:9" ht="12.75" customHeight="1">
      <c r="A605" s="43">
        <v>150</v>
      </c>
      <c r="B605" s="43">
        <v>4</v>
      </c>
      <c r="C605" s="43">
        <v>1200</v>
      </c>
      <c r="D605" s="43">
        <v>514.4</v>
      </c>
      <c r="E605" s="43">
        <f t="shared" si="36"/>
        <v>40.717070551180576</v>
      </c>
      <c r="F605" s="43">
        <f t="shared" si="37"/>
        <v>10.16</v>
      </c>
      <c r="G605" s="43">
        <f t="shared" si="38"/>
        <v>8273.708735999895</v>
      </c>
      <c r="H605" s="43">
        <f t="shared" si="39"/>
        <v>139.6324072768486</v>
      </c>
      <c r="I605" s="42"/>
    </row>
    <row r="606" spans="1:9" ht="12.75" customHeight="1">
      <c r="A606" s="43">
        <v>150</v>
      </c>
      <c r="B606" s="43">
        <v>4</v>
      </c>
      <c r="C606" s="43">
        <v>1300</v>
      </c>
      <c r="D606" s="43">
        <v>536.6</v>
      </c>
      <c r="E606" s="43">
        <f t="shared" si="36"/>
        <v>40.717070551180576</v>
      </c>
      <c r="F606" s="43">
        <f t="shared" si="37"/>
        <v>10.16</v>
      </c>
      <c r="G606" s="43">
        <f t="shared" si="38"/>
        <v>8963.1844639998853</v>
      </c>
      <c r="H606" s="43">
        <f t="shared" si="39"/>
        <v>145.65853371842331</v>
      </c>
      <c r="I606" s="42"/>
    </row>
    <row r="607" spans="1:9" ht="12.75" customHeight="1">
      <c r="A607" s="43">
        <v>150</v>
      </c>
      <c r="B607" s="43">
        <v>4</v>
      </c>
      <c r="C607" s="43">
        <v>1400</v>
      </c>
      <c r="D607" s="43">
        <v>558.80000000000007</v>
      </c>
      <c r="E607" s="43">
        <f t="shared" si="36"/>
        <v>40.717070551180576</v>
      </c>
      <c r="F607" s="43">
        <f t="shared" si="37"/>
        <v>10.16</v>
      </c>
      <c r="G607" s="43">
        <f t="shared" si="38"/>
        <v>9652.6601919998757</v>
      </c>
      <c r="H607" s="43">
        <f t="shared" si="39"/>
        <v>151.68466015999809</v>
      </c>
      <c r="I607" s="42"/>
    </row>
    <row r="608" spans="1:9" ht="12.75" customHeight="1">
      <c r="A608" s="43">
        <v>150</v>
      </c>
      <c r="B608" s="43">
        <v>4</v>
      </c>
      <c r="C608" s="43">
        <v>1500</v>
      </c>
      <c r="D608" s="43">
        <v>581.00000000000011</v>
      </c>
      <c r="E608" s="43">
        <f t="shared" si="36"/>
        <v>40.717070551180576</v>
      </c>
      <c r="F608" s="43">
        <f t="shared" si="37"/>
        <v>10.16</v>
      </c>
      <c r="G608" s="43">
        <f t="shared" si="38"/>
        <v>10342.135919999868</v>
      </c>
      <c r="H608" s="43">
        <f t="shared" si="39"/>
        <v>157.71078660157281</v>
      </c>
      <c r="I608" s="42"/>
    </row>
    <row r="609" spans="1:9" ht="12.75" customHeight="1">
      <c r="A609" s="43">
        <v>150</v>
      </c>
      <c r="B609" s="43">
        <v>4</v>
      </c>
      <c r="C609" s="43">
        <v>1600</v>
      </c>
      <c r="D609" s="43">
        <v>603.20000000000016</v>
      </c>
      <c r="E609" s="43">
        <f t="shared" si="36"/>
        <v>40.717070551180576</v>
      </c>
      <c r="F609" s="43">
        <f t="shared" si="37"/>
        <v>10.16</v>
      </c>
      <c r="G609" s="43">
        <f t="shared" si="38"/>
        <v>11031.611647999858</v>
      </c>
      <c r="H609" s="43">
        <f t="shared" si="39"/>
        <v>163.73691304314755</v>
      </c>
      <c r="I609" s="42"/>
    </row>
    <row r="610" spans="1:9" ht="12.75" customHeight="1">
      <c r="A610" s="43">
        <v>150</v>
      </c>
      <c r="B610" s="43">
        <v>4</v>
      </c>
      <c r="C610" s="43">
        <v>1700</v>
      </c>
      <c r="D610" s="43">
        <v>625.4000000000002</v>
      </c>
      <c r="E610" s="43">
        <f t="shared" si="36"/>
        <v>40.717070551180576</v>
      </c>
      <c r="F610" s="43">
        <f t="shared" si="37"/>
        <v>10.16</v>
      </c>
      <c r="G610" s="43">
        <f t="shared" si="38"/>
        <v>11721.08737599985</v>
      </c>
      <c r="H610" s="43">
        <f t="shared" si="39"/>
        <v>169.7630394847223</v>
      </c>
      <c r="I610" s="42"/>
    </row>
    <row r="611" spans="1:9" ht="12.75" customHeight="1">
      <c r="A611" s="43">
        <v>150</v>
      </c>
      <c r="B611" s="43">
        <v>4</v>
      </c>
      <c r="C611" s="43">
        <v>1800</v>
      </c>
      <c r="D611" s="43">
        <v>647.60000000000025</v>
      </c>
      <c r="E611" s="43">
        <f t="shared" si="36"/>
        <v>40.717070551180576</v>
      </c>
      <c r="F611" s="43">
        <f t="shared" si="37"/>
        <v>10.16</v>
      </c>
      <c r="G611" s="43">
        <f t="shared" si="38"/>
        <v>12410.563103999841</v>
      </c>
      <c r="H611" s="43">
        <f t="shared" si="39"/>
        <v>175.78916592629704</v>
      </c>
      <c r="I611" s="42"/>
    </row>
    <row r="612" spans="1:9" ht="12.75" customHeight="1">
      <c r="A612" s="43">
        <v>150</v>
      </c>
      <c r="B612" s="43">
        <v>4</v>
      </c>
      <c r="C612" s="43">
        <v>1900</v>
      </c>
      <c r="D612" s="43">
        <v>669.8000000000003</v>
      </c>
      <c r="E612" s="43">
        <f t="shared" si="36"/>
        <v>40.717070551180576</v>
      </c>
      <c r="F612" s="43">
        <f t="shared" si="37"/>
        <v>10.16</v>
      </c>
      <c r="G612" s="43">
        <f t="shared" si="38"/>
        <v>13100.038831999833</v>
      </c>
      <c r="H612" s="43">
        <f t="shared" si="39"/>
        <v>181.81529236787176</v>
      </c>
      <c r="I612" s="42"/>
    </row>
    <row r="613" spans="1:9" ht="12.75" customHeight="1">
      <c r="A613" s="43">
        <v>150</v>
      </c>
      <c r="B613" s="43">
        <v>4</v>
      </c>
      <c r="C613" s="43">
        <v>2000</v>
      </c>
      <c r="D613" s="43">
        <v>692</v>
      </c>
      <c r="E613" s="43">
        <f t="shared" si="36"/>
        <v>40.717070551180576</v>
      </c>
      <c r="F613" s="43">
        <f t="shared" si="37"/>
        <v>10.16</v>
      </c>
      <c r="G613" s="43">
        <f t="shared" si="38"/>
        <v>13789.514559999823</v>
      </c>
      <c r="H613" s="43">
        <f t="shared" si="39"/>
        <v>187.8414188094464</v>
      </c>
      <c r="I613" s="42"/>
    </row>
    <row r="614" spans="1:9" ht="12.75" customHeight="1">
      <c r="A614" s="43">
        <v>150</v>
      </c>
      <c r="B614" s="43">
        <v>5</v>
      </c>
      <c r="C614" s="43">
        <v>50</v>
      </c>
      <c r="D614" s="43">
        <v>220</v>
      </c>
      <c r="E614" s="43">
        <f t="shared" si="36"/>
        <v>40.717070551180576</v>
      </c>
      <c r="F614" s="43">
        <f t="shared" si="37"/>
        <v>12.7</v>
      </c>
      <c r="G614" s="43">
        <f t="shared" si="38"/>
        <v>344.73786399999557</v>
      </c>
      <c r="H614" s="43">
        <f t="shared" si="39"/>
        <v>59.718370141731512</v>
      </c>
      <c r="I614" s="42"/>
    </row>
    <row r="615" spans="1:9" ht="12.75" customHeight="1">
      <c r="A615" s="43">
        <v>150</v>
      </c>
      <c r="B615" s="43">
        <v>5</v>
      </c>
      <c r="C615" s="43">
        <v>60</v>
      </c>
      <c r="D615" s="43">
        <v>226</v>
      </c>
      <c r="E615" s="43">
        <f t="shared" si="36"/>
        <v>40.717070551180576</v>
      </c>
      <c r="F615" s="43">
        <f t="shared" si="37"/>
        <v>12.7</v>
      </c>
      <c r="G615" s="43">
        <f t="shared" si="38"/>
        <v>413.6854367999947</v>
      </c>
      <c r="H615" s="43">
        <f t="shared" si="39"/>
        <v>61.347052963778744</v>
      </c>
      <c r="I615" s="42"/>
    </row>
    <row r="616" spans="1:9" ht="12.75" customHeight="1">
      <c r="A616" s="43">
        <v>150</v>
      </c>
      <c r="B616" s="43">
        <v>5</v>
      </c>
      <c r="C616" s="43">
        <v>70</v>
      </c>
      <c r="D616" s="43">
        <v>232</v>
      </c>
      <c r="E616" s="43">
        <f t="shared" si="36"/>
        <v>40.717070551180576</v>
      </c>
      <c r="F616" s="43">
        <f t="shared" si="37"/>
        <v>12.7</v>
      </c>
      <c r="G616" s="43">
        <f t="shared" si="38"/>
        <v>482.63300959999384</v>
      </c>
      <c r="H616" s="43">
        <f t="shared" si="39"/>
        <v>62.975735785825968</v>
      </c>
      <c r="I616" s="42"/>
    </row>
    <row r="617" spans="1:9" ht="12.75" customHeight="1">
      <c r="A617" s="43">
        <v>150</v>
      </c>
      <c r="B617" s="43">
        <v>5</v>
      </c>
      <c r="C617" s="43">
        <v>80</v>
      </c>
      <c r="D617" s="43">
        <v>238</v>
      </c>
      <c r="E617" s="43">
        <f t="shared" si="36"/>
        <v>40.717070551180576</v>
      </c>
      <c r="F617" s="43">
        <f t="shared" si="37"/>
        <v>12.7</v>
      </c>
      <c r="G617" s="43">
        <f t="shared" si="38"/>
        <v>551.58058239999298</v>
      </c>
      <c r="H617" s="43">
        <f t="shared" si="39"/>
        <v>64.604418607873185</v>
      </c>
      <c r="I617" s="42"/>
    </row>
    <row r="618" spans="1:9" ht="12.75" customHeight="1">
      <c r="A618" s="43">
        <v>150</v>
      </c>
      <c r="B618" s="43">
        <v>5</v>
      </c>
      <c r="C618" s="43">
        <v>90</v>
      </c>
      <c r="D618" s="43">
        <v>244</v>
      </c>
      <c r="E618" s="43">
        <f t="shared" si="36"/>
        <v>40.717070551180576</v>
      </c>
      <c r="F618" s="43">
        <f t="shared" si="37"/>
        <v>12.7</v>
      </c>
      <c r="G618" s="43">
        <f t="shared" si="38"/>
        <v>620.52815519999206</v>
      </c>
      <c r="H618" s="43">
        <f t="shared" si="39"/>
        <v>66.23310142992041</v>
      </c>
      <c r="I618" s="42"/>
    </row>
    <row r="619" spans="1:9" ht="12.75" customHeight="1">
      <c r="A619" s="43">
        <v>150</v>
      </c>
      <c r="B619" s="43">
        <v>5</v>
      </c>
      <c r="C619" s="43">
        <v>100</v>
      </c>
      <c r="D619" s="43">
        <v>250</v>
      </c>
      <c r="E619" s="43">
        <f t="shared" si="36"/>
        <v>40.717070551180576</v>
      </c>
      <c r="F619" s="43">
        <f t="shared" si="37"/>
        <v>12.7</v>
      </c>
      <c r="G619" s="43">
        <f t="shared" si="38"/>
        <v>689.47572799999114</v>
      </c>
      <c r="H619" s="43">
        <f t="shared" si="39"/>
        <v>67.861784251967634</v>
      </c>
      <c r="I619" s="42"/>
    </row>
    <row r="620" spans="1:9" ht="12.75" customHeight="1">
      <c r="A620" s="43">
        <v>150</v>
      </c>
      <c r="B620" s="43">
        <v>5</v>
      </c>
      <c r="C620" s="43">
        <v>150</v>
      </c>
      <c r="D620" s="43">
        <v>274.75</v>
      </c>
      <c r="E620" s="43">
        <f t="shared" si="36"/>
        <v>40.717070551180576</v>
      </c>
      <c r="F620" s="43">
        <f t="shared" si="37"/>
        <v>12.7</v>
      </c>
      <c r="G620" s="43">
        <f t="shared" si="38"/>
        <v>1034.2135919999869</v>
      </c>
      <c r="H620" s="43">
        <f t="shared" si="39"/>
        <v>74.580100892912427</v>
      </c>
      <c r="I620" s="42"/>
    </row>
    <row r="621" spans="1:9" ht="12.75" customHeight="1">
      <c r="A621" s="43">
        <v>150</v>
      </c>
      <c r="B621" s="43">
        <v>5</v>
      </c>
      <c r="C621" s="43">
        <v>200</v>
      </c>
      <c r="D621" s="43">
        <v>299.5</v>
      </c>
      <c r="E621" s="43">
        <f t="shared" si="36"/>
        <v>40.717070551180576</v>
      </c>
      <c r="F621" s="43">
        <f t="shared" si="37"/>
        <v>12.7</v>
      </c>
      <c r="G621" s="43">
        <f t="shared" si="38"/>
        <v>1378.9514559999823</v>
      </c>
      <c r="H621" s="43">
        <f t="shared" si="39"/>
        <v>81.298417533857233</v>
      </c>
      <c r="I621" s="42"/>
    </row>
    <row r="622" spans="1:9" ht="12.75" customHeight="1">
      <c r="A622" s="43">
        <v>150</v>
      </c>
      <c r="B622" s="43">
        <v>5</v>
      </c>
      <c r="C622" s="43">
        <v>250</v>
      </c>
      <c r="D622" s="43">
        <v>324.25</v>
      </c>
      <c r="E622" s="43">
        <f t="shared" si="36"/>
        <v>40.717070551180576</v>
      </c>
      <c r="F622" s="43">
        <f t="shared" si="37"/>
        <v>12.7</v>
      </c>
      <c r="G622" s="43">
        <f t="shared" si="38"/>
        <v>1723.6893199999779</v>
      </c>
      <c r="H622" s="43">
        <f t="shared" si="39"/>
        <v>88.016734174802025</v>
      </c>
      <c r="I622" s="42"/>
    </row>
    <row r="623" spans="1:9" ht="12.75" customHeight="1">
      <c r="A623" s="43">
        <v>150</v>
      </c>
      <c r="B623" s="43">
        <v>5</v>
      </c>
      <c r="C623" s="43">
        <v>300</v>
      </c>
      <c r="D623" s="43">
        <v>349</v>
      </c>
      <c r="E623" s="43">
        <f t="shared" si="36"/>
        <v>40.717070551180576</v>
      </c>
      <c r="F623" s="43">
        <f t="shared" si="37"/>
        <v>12.7</v>
      </c>
      <c r="G623" s="43">
        <f t="shared" si="38"/>
        <v>2068.4271839999737</v>
      </c>
      <c r="H623" s="43">
        <f t="shared" si="39"/>
        <v>94.735050815746817</v>
      </c>
      <c r="I623" s="42"/>
    </row>
    <row r="624" spans="1:9" ht="12.75" customHeight="1">
      <c r="A624" s="43">
        <v>150</v>
      </c>
      <c r="B624" s="43">
        <v>5</v>
      </c>
      <c r="C624" s="43">
        <v>350</v>
      </c>
      <c r="D624" s="43">
        <v>371</v>
      </c>
      <c r="E624" s="43">
        <f t="shared" si="36"/>
        <v>40.717070551180576</v>
      </c>
      <c r="F624" s="43">
        <f t="shared" si="37"/>
        <v>12.7</v>
      </c>
      <c r="G624" s="43">
        <f t="shared" si="38"/>
        <v>2413.1650479999689</v>
      </c>
      <c r="H624" s="43">
        <f t="shared" si="39"/>
        <v>100.70688782991996</v>
      </c>
      <c r="I624" s="42"/>
    </row>
    <row r="625" spans="1:9" ht="12.75" customHeight="1">
      <c r="A625" s="43">
        <v>150</v>
      </c>
      <c r="B625" s="43">
        <v>5</v>
      </c>
      <c r="C625" s="43">
        <v>400</v>
      </c>
      <c r="D625" s="43">
        <v>393</v>
      </c>
      <c r="E625" s="43">
        <f t="shared" si="36"/>
        <v>40.717070551180576</v>
      </c>
      <c r="F625" s="43">
        <f t="shared" si="37"/>
        <v>12.7</v>
      </c>
      <c r="G625" s="43">
        <f t="shared" si="38"/>
        <v>2757.9029119999645</v>
      </c>
      <c r="H625" s="43">
        <f t="shared" si="39"/>
        <v>106.67872484409311</v>
      </c>
      <c r="I625" s="42"/>
    </row>
    <row r="626" spans="1:9" ht="12.75" customHeight="1">
      <c r="A626" s="43">
        <v>150</v>
      </c>
      <c r="B626" s="43">
        <v>5</v>
      </c>
      <c r="C626" s="43">
        <v>450</v>
      </c>
      <c r="D626" s="43">
        <v>415</v>
      </c>
      <c r="E626" s="43">
        <f t="shared" si="36"/>
        <v>40.717070551180576</v>
      </c>
      <c r="F626" s="43">
        <f t="shared" si="37"/>
        <v>12.7</v>
      </c>
      <c r="G626" s="43">
        <f t="shared" si="38"/>
        <v>3102.6407759999602</v>
      </c>
      <c r="H626" s="43">
        <f t="shared" si="39"/>
        <v>112.65056185826627</v>
      </c>
      <c r="I626" s="42"/>
    </row>
    <row r="627" spans="1:9" ht="12.75" customHeight="1">
      <c r="A627" s="43">
        <v>150</v>
      </c>
      <c r="B627" s="43">
        <v>5</v>
      </c>
      <c r="C627" s="43">
        <v>500</v>
      </c>
      <c r="D627" s="43">
        <v>437</v>
      </c>
      <c r="E627" s="43">
        <f t="shared" si="36"/>
        <v>40.717070551180576</v>
      </c>
      <c r="F627" s="43">
        <f t="shared" si="37"/>
        <v>12.7</v>
      </c>
      <c r="G627" s="43">
        <f t="shared" si="38"/>
        <v>3447.3786399999558</v>
      </c>
      <c r="H627" s="43">
        <f t="shared" si="39"/>
        <v>118.62239887243942</v>
      </c>
      <c r="I627" s="42"/>
    </row>
    <row r="628" spans="1:9" ht="12.75" customHeight="1">
      <c r="A628" s="43">
        <v>150</v>
      </c>
      <c r="B628" s="43">
        <v>5</v>
      </c>
      <c r="C628" s="43">
        <v>550</v>
      </c>
      <c r="D628" s="43">
        <v>457.6</v>
      </c>
      <c r="E628" s="43">
        <f t="shared" si="36"/>
        <v>40.717070551180576</v>
      </c>
      <c r="F628" s="43">
        <f t="shared" si="37"/>
        <v>12.7</v>
      </c>
      <c r="G628" s="43">
        <f t="shared" si="38"/>
        <v>3792.1165039999514</v>
      </c>
      <c r="H628" s="43">
        <f t="shared" si="39"/>
        <v>124.21420989480157</v>
      </c>
      <c r="I628" s="42"/>
    </row>
    <row r="629" spans="1:9" ht="12.75" customHeight="1">
      <c r="A629" s="43">
        <v>150</v>
      </c>
      <c r="B629" s="43">
        <v>5</v>
      </c>
      <c r="C629" s="43">
        <v>600</v>
      </c>
      <c r="D629" s="43">
        <v>478.20000000000005</v>
      </c>
      <c r="E629" s="43">
        <f t="shared" si="36"/>
        <v>40.717070551180576</v>
      </c>
      <c r="F629" s="43">
        <f t="shared" si="37"/>
        <v>12.7</v>
      </c>
      <c r="G629" s="43">
        <f t="shared" si="38"/>
        <v>4136.8543679999475</v>
      </c>
      <c r="H629" s="43">
        <f t="shared" si="39"/>
        <v>129.80602091716369</v>
      </c>
      <c r="I629" s="42"/>
    </row>
    <row r="630" spans="1:9" ht="12.75" customHeight="1">
      <c r="A630" s="43">
        <v>150</v>
      </c>
      <c r="B630" s="43">
        <v>5</v>
      </c>
      <c r="C630" s="43">
        <v>650</v>
      </c>
      <c r="D630" s="43">
        <v>498.80000000000007</v>
      </c>
      <c r="E630" s="43">
        <f t="shared" si="36"/>
        <v>40.717070551180576</v>
      </c>
      <c r="F630" s="43">
        <f t="shared" si="37"/>
        <v>12.7</v>
      </c>
      <c r="G630" s="43">
        <f t="shared" si="38"/>
        <v>4481.5922319999427</v>
      </c>
      <c r="H630" s="43">
        <f t="shared" si="39"/>
        <v>135.39783193952584</v>
      </c>
      <c r="I630" s="42"/>
    </row>
    <row r="631" spans="1:9" ht="12.75" customHeight="1">
      <c r="A631" s="43">
        <v>150</v>
      </c>
      <c r="B631" s="43">
        <v>5</v>
      </c>
      <c r="C631" s="43">
        <v>700</v>
      </c>
      <c r="D631" s="43">
        <v>519.40000000000009</v>
      </c>
      <c r="E631" s="43">
        <f t="shared" si="36"/>
        <v>40.717070551180576</v>
      </c>
      <c r="F631" s="43">
        <f t="shared" si="37"/>
        <v>12.7</v>
      </c>
      <c r="G631" s="43">
        <f t="shared" si="38"/>
        <v>4826.3300959999378</v>
      </c>
      <c r="H631" s="43">
        <f t="shared" si="39"/>
        <v>140.98964296188797</v>
      </c>
      <c r="I631" s="42"/>
    </row>
    <row r="632" spans="1:9" ht="12.75" customHeight="1">
      <c r="A632" s="43">
        <v>150</v>
      </c>
      <c r="B632" s="43">
        <v>5</v>
      </c>
      <c r="C632" s="43">
        <v>750</v>
      </c>
      <c r="D632" s="43">
        <v>540.00000000000011</v>
      </c>
      <c r="E632" s="43">
        <f t="shared" si="36"/>
        <v>40.717070551180576</v>
      </c>
      <c r="F632" s="43">
        <f t="shared" si="37"/>
        <v>12.7</v>
      </c>
      <c r="G632" s="43">
        <f t="shared" si="38"/>
        <v>5171.0679599999339</v>
      </c>
      <c r="H632" s="43">
        <f t="shared" si="39"/>
        <v>146.58145398425012</v>
      </c>
      <c r="I632" s="42"/>
    </row>
    <row r="633" spans="1:9" ht="12.75" customHeight="1">
      <c r="A633" s="43">
        <v>150</v>
      </c>
      <c r="B633" s="43">
        <v>5</v>
      </c>
      <c r="C633" s="43">
        <v>800</v>
      </c>
      <c r="D633" s="43">
        <v>560.60000000000014</v>
      </c>
      <c r="E633" s="43">
        <f t="shared" si="36"/>
        <v>40.717070551180576</v>
      </c>
      <c r="F633" s="43">
        <f t="shared" si="37"/>
        <v>12.7</v>
      </c>
      <c r="G633" s="43">
        <f t="shared" si="38"/>
        <v>5515.8058239999291</v>
      </c>
      <c r="H633" s="43">
        <f t="shared" si="39"/>
        <v>152.17326500661224</v>
      </c>
      <c r="I633" s="42"/>
    </row>
    <row r="634" spans="1:9" ht="12.75" customHeight="1">
      <c r="A634" s="43">
        <v>150</v>
      </c>
      <c r="B634" s="43">
        <v>5</v>
      </c>
      <c r="C634" s="43">
        <v>850</v>
      </c>
      <c r="D634" s="43">
        <v>581.20000000000016</v>
      </c>
      <c r="E634" s="43">
        <f t="shared" si="36"/>
        <v>40.717070551180576</v>
      </c>
      <c r="F634" s="43">
        <f t="shared" si="37"/>
        <v>12.7</v>
      </c>
      <c r="G634" s="43">
        <f t="shared" si="38"/>
        <v>5860.5436879999252</v>
      </c>
      <c r="H634" s="43">
        <f t="shared" si="39"/>
        <v>157.76507602897442</v>
      </c>
      <c r="I634" s="42"/>
    </row>
    <row r="635" spans="1:9" ht="12.75" customHeight="1">
      <c r="A635" s="43">
        <v>150</v>
      </c>
      <c r="B635" s="43">
        <v>5</v>
      </c>
      <c r="C635" s="43">
        <v>900</v>
      </c>
      <c r="D635" s="43">
        <v>601.80000000000018</v>
      </c>
      <c r="E635" s="43">
        <f t="shared" si="36"/>
        <v>40.717070551180576</v>
      </c>
      <c r="F635" s="43">
        <f t="shared" si="37"/>
        <v>12.7</v>
      </c>
      <c r="G635" s="43">
        <f t="shared" si="38"/>
        <v>6205.2815519999203</v>
      </c>
      <c r="H635" s="43">
        <f t="shared" si="39"/>
        <v>163.35688705133654</v>
      </c>
      <c r="I635" s="42"/>
    </row>
    <row r="636" spans="1:9" ht="12.75" customHeight="1">
      <c r="A636" s="43">
        <v>150</v>
      </c>
      <c r="B636" s="43">
        <v>5</v>
      </c>
      <c r="C636" s="43">
        <v>950</v>
      </c>
      <c r="D636" s="43">
        <v>622.4000000000002</v>
      </c>
      <c r="E636" s="43">
        <f t="shared" si="36"/>
        <v>40.717070551180576</v>
      </c>
      <c r="F636" s="43">
        <f t="shared" si="37"/>
        <v>12.7</v>
      </c>
      <c r="G636" s="43">
        <f t="shared" si="38"/>
        <v>6550.0194159999164</v>
      </c>
      <c r="H636" s="43">
        <f t="shared" si="39"/>
        <v>168.94869807369867</v>
      </c>
      <c r="I636" s="42"/>
    </row>
    <row r="637" spans="1:9" ht="12.75" customHeight="1">
      <c r="A637" s="43">
        <v>150</v>
      </c>
      <c r="B637" s="43">
        <v>5</v>
      </c>
      <c r="C637" s="43">
        <v>1000</v>
      </c>
      <c r="D637" s="43">
        <v>643</v>
      </c>
      <c r="E637" s="43">
        <f t="shared" si="36"/>
        <v>40.717070551180576</v>
      </c>
      <c r="F637" s="43">
        <f t="shared" si="37"/>
        <v>12.7</v>
      </c>
      <c r="G637" s="43">
        <f t="shared" si="38"/>
        <v>6894.7572799999116</v>
      </c>
      <c r="H637" s="43">
        <f t="shared" si="39"/>
        <v>174.54050909606076</v>
      </c>
      <c r="I637" s="42"/>
    </row>
    <row r="638" spans="1:9" ht="12.75" customHeight="1">
      <c r="A638" s="43">
        <v>150</v>
      </c>
      <c r="B638" s="43">
        <v>5</v>
      </c>
      <c r="C638" s="43">
        <v>1100</v>
      </c>
      <c r="D638" s="43">
        <v>678.6</v>
      </c>
      <c r="E638" s="43">
        <f t="shared" si="36"/>
        <v>40.717070551180576</v>
      </c>
      <c r="F638" s="43">
        <f t="shared" si="37"/>
        <v>12.7</v>
      </c>
      <c r="G638" s="43">
        <f t="shared" si="38"/>
        <v>7584.2330079999028</v>
      </c>
      <c r="H638" s="43">
        <f t="shared" si="39"/>
        <v>184.20402717354094</v>
      </c>
      <c r="I638" s="42"/>
    </row>
    <row r="639" spans="1:9" ht="12.75" customHeight="1">
      <c r="A639" s="43">
        <v>150</v>
      </c>
      <c r="B639" s="43">
        <v>5</v>
      </c>
      <c r="C639" s="43">
        <v>1200</v>
      </c>
      <c r="D639" s="43">
        <v>714.2</v>
      </c>
      <c r="E639" s="43">
        <f t="shared" si="36"/>
        <v>40.717070551180576</v>
      </c>
      <c r="F639" s="43">
        <f t="shared" si="37"/>
        <v>12.7</v>
      </c>
      <c r="G639" s="43">
        <f t="shared" si="38"/>
        <v>8273.708735999895</v>
      </c>
      <c r="H639" s="43">
        <f t="shared" si="39"/>
        <v>193.86754525102114</v>
      </c>
      <c r="I639" s="42"/>
    </row>
    <row r="640" spans="1:9" ht="12.75" customHeight="1">
      <c r="A640" s="43">
        <v>150</v>
      </c>
      <c r="B640" s="43">
        <v>5</v>
      </c>
      <c r="C640" s="43">
        <v>1300</v>
      </c>
      <c r="D640" s="43">
        <v>749.80000000000007</v>
      </c>
      <c r="E640" s="43">
        <f t="shared" si="36"/>
        <v>40.717070551180576</v>
      </c>
      <c r="F640" s="43">
        <f t="shared" si="37"/>
        <v>12.7</v>
      </c>
      <c r="G640" s="43">
        <f t="shared" si="38"/>
        <v>8963.1844639998853</v>
      </c>
      <c r="H640" s="43">
        <f t="shared" si="39"/>
        <v>203.53106332850132</v>
      </c>
      <c r="I640" s="42"/>
    </row>
    <row r="641" spans="1:9" ht="12.75" customHeight="1">
      <c r="A641" s="43">
        <v>150</v>
      </c>
      <c r="B641" s="43">
        <v>5</v>
      </c>
      <c r="C641" s="43">
        <v>1400</v>
      </c>
      <c r="D641" s="43">
        <v>785.40000000000009</v>
      </c>
      <c r="E641" s="43">
        <f t="shared" si="36"/>
        <v>40.717070551180576</v>
      </c>
      <c r="F641" s="43">
        <f t="shared" si="37"/>
        <v>12.7</v>
      </c>
      <c r="G641" s="43">
        <f t="shared" si="38"/>
        <v>9652.6601919998757</v>
      </c>
      <c r="H641" s="43">
        <f t="shared" si="39"/>
        <v>213.19458140598152</v>
      </c>
      <c r="I641" s="42"/>
    </row>
    <row r="642" spans="1:9" ht="12.75" customHeight="1">
      <c r="A642" s="43">
        <v>150</v>
      </c>
      <c r="B642" s="43">
        <v>5</v>
      </c>
      <c r="C642" s="43">
        <v>1500</v>
      </c>
      <c r="D642" s="43">
        <v>821.00000000000011</v>
      </c>
      <c r="E642" s="43">
        <f t="shared" si="36"/>
        <v>40.717070551180576</v>
      </c>
      <c r="F642" s="43">
        <f t="shared" si="37"/>
        <v>12.7</v>
      </c>
      <c r="G642" s="43">
        <f t="shared" si="38"/>
        <v>10342.135919999868</v>
      </c>
      <c r="H642" s="43">
        <f t="shared" si="39"/>
        <v>222.85809948346173</v>
      </c>
      <c r="I642" s="42"/>
    </row>
    <row r="643" spans="1:9" ht="12.75" customHeight="1">
      <c r="A643" s="43">
        <v>150</v>
      </c>
      <c r="B643" s="43">
        <v>5</v>
      </c>
      <c r="C643" s="43">
        <v>1600</v>
      </c>
      <c r="D643" s="43">
        <v>856.60000000000014</v>
      </c>
      <c r="E643" s="43">
        <f t="shared" ref="E643:E706" si="40">A643/145.03773800722/0.0254</f>
        <v>40.717070551180576</v>
      </c>
      <c r="F643" s="43">
        <f t="shared" ref="F643:F706" si="41">B643*2.54</f>
        <v>12.7</v>
      </c>
      <c r="G643" s="43">
        <f t="shared" ref="G643:G706" si="42">C643/0.14503773800722</f>
        <v>11031.611647999858</v>
      </c>
      <c r="H643" s="43">
        <f t="shared" ref="H643:H706" si="43">D643/145.03773800722/0.0254</f>
        <v>232.52161756094193</v>
      </c>
      <c r="I643" s="42"/>
    </row>
    <row r="644" spans="1:9" ht="12.75" customHeight="1">
      <c r="A644" s="43">
        <v>150</v>
      </c>
      <c r="B644" s="43">
        <v>5</v>
      </c>
      <c r="C644" s="43">
        <v>1700</v>
      </c>
      <c r="D644" s="43">
        <v>892.20000000000016</v>
      </c>
      <c r="E644" s="43">
        <f t="shared" si="40"/>
        <v>40.717070551180576</v>
      </c>
      <c r="F644" s="43">
        <f t="shared" si="41"/>
        <v>12.7</v>
      </c>
      <c r="G644" s="43">
        <f t="shared" si="42"/>
        <v>11721.08737599985</v>
      </c>
      <c r="H644" s="43">
        <f t="shared" si="43"/>
        <v>242.18513563842211</v>
      </c>
      <c r="I644" s="42"/>
    </row>
    <row r="645" spans="1:9" ht="12.75" customHeight="1">
      <c r="A645" s="43">
        <v>150</v>
      </c>
      <c r="B645" s="43">
        <v>5</v>
      </c>
      <c r="C645" s="43">
        <v>1800</v>
      </c>
      <c r="D645" s="43">
        <v>927.80000000000018</v>
      </c>
      <c r="E645" s="43">
        <f t="shared" si="40"/>
        <v>40.717070551180576</v>
      </c>
      <c r="F645" s="43">
        <f t="shared" si="41"/>
        <v>12.7</v>
      </c>
      <c r="G645" s="43">
        <f t="shared" si="42"/>
        <v>12410.563103999841</v>
      </c>
      <c r="H645" s="43">
        <f t="shared" si="43"/>
        <v>251.84865371590232</v>
      </c>
      <c r="I645" s="42"/>
    </row>
    <row r="646" spans="1:9" ht="12.75" customHeight="1">
      <c r="A646" s="43">
        <v>150</v>
      </c>
      <c r="B646" s="43">
        <v>5</v>
      </c>
      <c r="C646" s="43">
        <v>1900</v>
      </c>
      <c r="D646" s="43">
        <v>963.4000000000002</v>
      </c>
      <c r="E646" s="43">
        <f t="shared" si="40"/>
        <v>40.717070551180576</v>
      </c>
      <c r="F646" s="43">
        <f t="shared" si="41"/>
        <v>12.7</v>
      </c>
      <c r="G646" s="43">
        <f t="shared" si="42"/>
        <v>13100.038831999833</v>
      </c>
      <c r="H646" s="43">
        <f t="shared" si="43"/>
        <v>261.51217179338255</v>
      </c>
      <c r="I646" s="42"/>
    </row>
    <row r="647" spans="1:9" ht="12.75" customHeight="1">
      <c r="A647" s="43">
        <v>150</v>
      </c>
      <c r="B647" s="43">
        <v>5</v>
      </c>
      <c r="C647" s="43">
        <v>2000</v>
      </c>
      <c r="D647" s="43">
        <v>999</v>
      </c>
      <c r="E647" s="43">
        <f t="shared" si="40"/>
        <v>40.717070551180576</v>
      </c>
      <c r="F647" s="43">
        <f t="shared" si="41"/>
        <v>12.7</v>
      </c>
      <c r="G647" s="43">
        <f t="shared" si="42"/>
        <v>13789.514559999823</v>
      </c>
      <c r="H647" s="43">
        <f t="shared" si="43"/>
        <v>271.17568987086264</v>
      </c>
      <c r="I647" s="42"/>
    </row>
    <row r="648" spans="1:9" ht="12.75" customHeight="1">
      <c r="A648" s="43">
        <v>150</v>
      </c>
      <c r="B648" s="43">
        <v>6</v>
      </c>
      <c r="C648" s="43">
        <v>50</v>
      </c>
      <c r="D648" s="43">
        <v>236</v>
      </c>
      <c r="E648" s="43">
        <f t="shared" si="40"/>
        <v>40.717070551180576</v>
      </c>
      <c r="F648" s="43">
        <f t="shared" si="41"/>
        <v>15.24</v>
      </c>
      <c r="G648" s="43">
        <f t="shared" si="42"/>
        <v>344.73786399999557</v>
      </c>
      <c r="H648" s="43">
        <f t="shared" si="43"/>
        <v>64.061524333857449</v>
      </c>
      <c r="I648" s="42"/>
    </row>
    <row r="649" spans="1:9" ht="12.75" customHeight="1">
      <c r="A649" s="43">
        <v>150</v>
      </c>
      <c r="B649" s="43">
        <v>6</v>
      </c>
      <c r="C649" s="43">
        <v>60</v>
      </c>
      <c r="D649" s="43">
        <v>244.6</v>
      </c>
      <c r="E649" s="43">
        <f t="shared" si="40"/>
        <v>40.717070551180576</v>
      </c>
      <c r="F649" s="43">
        <f t="shared" si="41"/>
        <v>15.24</v>
      </c>
      <c r="G649" s="43">
        <f t="shared" si="42"/>
        <v>413.6854367999947</v>
      </c>
      <c r="H649" s="43">
        <f t="shared" si="43"/>
        <v>66.395969712125122</v>
      </c>
      <c r="I649" s="42"/>
    </row>
    <row r="650" spans="1:9" ht="12.75" customHeight="1">
      <c r="A650" s="43">
        <v>150</v>
      </c>
      <c r="B650" s="43">
        <v>6</v>
      </c>
      <c r="C650" s="43">
        <v>70</v>
      </c>
      <c r="D650" s="43">
        <v>253.2</v>
      </c>
      <c r="E650" s="43">
        <f t="shared" si="40"/>
        <v>40.717070551180576</v>
      </c>
      <c r="F650" s="43">
        <f t="shared" si="41"/>
        <v>15.24</v>
      </c>
      <c r="G650" s="43">
        <f t="shared" si="42"/>
        <v>482.63300959999384</v>
      </c>
      <c r="H650" s="43">
        <f t="shared" si="43"/>
        <v>68.730415090392825</v>
      </c>
      <c r="I650" s="42"/>
    </row>
    <row r="651" spans="1:9" ht="12.75" customHeight="1">
      <c r="A651" s="43">
        <v>150</v>
      </c>
      <c r="B651" s="43">
        <v>6</v>
      </c>
      <c r="C651" s="43">
        <v>80</v>
      </c>
      <c r="D651" s="43">
        <v>261.8</v>
      </c>
      <c r="E651" s="43">
        <f t="shared" si="40"/>
        <v>40.717070551180576</v>
      </c>
      <c r="F651" s="43">
        <f t="shared" si="41"/>
        <v>15.24</v>
      </c>
      <c r="G651" s="43">
        <f t="shared" si="42"/>
        <v>551.58058239999298</v>
      </c>
      <c r="H651" s="43">
        <f t="shared" si="43"/>
        <v>71.064860468660513</v>
      </c>
      <c r="I651" s="42"/>
    </row>
    <row r="652" spans="1:9" ht="12.75" customHeight="1">
      <c r="A652" s="43">
        <v>150</v>
      </c>
      <c r="B652" s="43">
        <v>6</v>
      </c>
      <c r="C652" s="43">
        <v>90</v>
      </c>
      <c r="D652" s="43">
        <v>270.40000000000003</v>
      </c>
      <c r="E652" s="43">
        <f t="shared" si="40"/>
        <v>40.717070551180576</v>
      </c>
      <c r="F652" s="43">
        <f t="shared" si="41"/>
        <v>15.24</v>
      </c>
      <c r="G652" s="43">
        <f t="shared" si="42"/>
        <v>620.52815519999206</v>
      </c>
      <c r="H652" s="43">
        <f t="shared" si="43"/>
        <v>73.3993058469282</v>
      </c>
      <c r="I652" s="42"/>
    </row>
    <row r="653" spans="1:9" ht="12.75" customHeight="1">
      <c r="A653" s="43">
        <v>150</v>
      </c>
      <c r="B653" s="43">
        <v>6</v>
      </c>
      <c r="C653" s="43">
        <v>100</v>
      </c>
      <c r="D653" s="43">
        <v>279</v>
      </c>
      <c r="E653" s="43">
        <f t="shared" si="40"/>
        <v>40.717070551180576</v>
      </c>
      <c r="F653" s="43">
        <f t="shared" si="41"/>
        <v>15.24</v>
      </c>
      <c r="G653" s="43">
        <f t="shared" si="42"/>
        <v>689.47572799999114</v>
      </c>
      <c r="H653" s="43">
        <f t="shared" si="43"/>
        <v>75.733751225195874</v>
      </c>
      <c r="I653" s="42"/>
    </row>
    <row r="654" spans="1:9" ht="12.75" customHeight="1">
      <c r="A654" s="43">
        <v>150</v>
      </c>
      <c r="B654" s="43">
        <v>6</v>
      </c>
      <c r="C654" s="43">
        <v>150</v>
      </c>
      <c r="D654" s="43">
        <v>315</v>
      </c>
      <c r="E654" s="43">
        <f t="shared" si="40"/>
        <v>40.717070551180576</v>
      </c>
      <c r="F654" s="43">
        <f t="shared" si="41"/>
        <v>15.24</v>
      </c>
      <c r="G654" s="43">
        <f t="shared" si="42"/>
        <v>1034.2135919999869</v>
      </c>
      <c r="H654" s="43">
        <f t="shared" si="43"/>
        <v>85.505848157479207</v>
      </c>
      <c r="I654" s="42"/>
    </row>
    <row r="655" spans="1:9" ht="12.75" customHeight="1">
      <c r="A655" s="43">
        <v>150</v>
      </c>
      <c r="B655" s="43">
        <v>6</v>
      </c>
      <c r="C655" s="43">
        <v>200</v>
      </c>
      <c r="D655" s="43">
        <v>351</v>
      </c>
      <c r="E655" s="43">
        <f t="shared" si="40"/>
        <v>40.717070551180576</v>
      </c>
      <c r="F655" s="43">
        <f t="shared" si="41"/>
        <v>15.24</v>
      </c>
      <c r="G655" s="43">
        <f t="shared" si="42"/>
        <v>1378.9514559999823</v>
      </c>
      <c r="H655" s="43">
        <f t="shared" si="43"/>
        <v>95.277945089762554</v>
      </c>
      <c r="I655" s="42"/>
    </row>
    <row r="656" spans="1:9" ht="12.75" customHeight="1">
      <c r="A656" s="43">
        <v>150</v>
      </c>
      <c r="B656" s="43">
        <v>6</v>
      </c>
      <c r="C656" s="43">
        <v>250</v>
      </c>
      <c r="D656" s="43">
        <v>387</v>
      </c>
      <c r="E656" s="43">
        <f t="shared" si="40"/>
        <v>40.717070551180576</v>
      </c>
      <c r="F656" s="43">
        <f t="shared" si="41"/>
        <v>15.24</v>
      </c>
      <c r="G656" s="43">
        <f t="shared" si="42"/>
        <v>1723.6893199999779</v>
      </c>
      <c r="H656" s="43">
        <f t="shared" si="43"/>
        <v>105.05004202204589</v>
      </c>
      <c r="I656" s="42"/>
    </row>
    <row r="657" spans="1:9" ht="12.75" customHeight="1">
      <c r="A657" s="43">
        <v>150</v>
      </c>
      <c r="B657" s="43">
        <v>6</v>
      </c>
      <c r="C657" s="43">
        <v>300</v>
      </c>
      <c r="D657" s="43">
        <v>423</v>
      </c>
      <c r="E657" s="43">
        <f t="shared" si="40"/>
        <v>40.717070551180576</v>
      </c>
      <c r="F657" s="43">
        <f t="shared" si="41"/>
        <v>15.24</v>
      </c>
      <c r="G657" s="43">
        <f t="shared" si="42"/>
        <v>2068.4271839999737</v>
      </c>
      <c r="H657" s="43">
        <f t="shared" si="43"/>
        <v>114.82213895432922</v>
      </c>
      <c r="I657" s="42"/>
    </row>
    <row r="658" spans="1:9" ht="12.75" customHeight="1">
      <c r="A658" s="43">
        <v>150</v>
      </c>
      <c r="B658" s="43">
        <v>6</v>
      </c>
      <c r="C658" s="43">
        <v>350</v>
      </c>
      <c r="D658" s="43">
        <v>455.75</v>
      </c>
      <c r="E658" s="43">
        <f t="shared" si="40"/>
        <v>40.717070551180576</v>
      </c>
      <c r="F658" s="43">
        <f t="shared" si="41"/>
        <v>15.24</v>
      </c>
      <c r="G658" s="43">
        <f t="shared" si="42"/>
        <v>2413.1650479999689</v>
      </c>
      <c r="H658" s="43">
        <f t="shared" si="43"/>
        <v>123.712032691337</v>
      </c>
      <c r="I658" s="42"/>
    </row>
    <row r="659" spans="1:9" ht="12.75" customHeight="1">
      <c r="A659" s="43">
        <v>150</v>
      </c>
      <c r="B659" s="43">
        <v>6</v>
      </c>
      <c r="C659" s="43">
        <v>400</v>
      </c>
      <c r="D659" s="43">
        <v>488.5</v>
      </c>
      <c r="E659" s="43">
        <f t="shared" si="40"/>
        <v>40.717070551180576</v>
      </c>
      <c r="F659" s="43">
        <f t="shared" si="41"/>
        <v>15.24</v>
      </c>
      <c r="G659" s="43">
        <f t="shared" si="42"/>
        <v>2757.9029119999645</v>
      </c>
      <c r="H659" s="43">
        <f t="shared" si="43"/>
        <v>132.60192642834474</v>
      </c>
      <c r="I659" s="42"/>
    </row>
    <row r="660" spans="1:9" ht="12.75" customHeight="1">
      <c r="A660" s="43">
        <v>150</v>
      </c>
      <c r="B660" s="43">
        <v>6</v>
      </c>
      <c r="C660" s="43">
        <v>450</v>
      </c>
      <c r="D660" s="43">
        <v>521.25</v>
      </c>
      <c r="E660" s="43">
        <f t="shared" si="40"/>
        <v>40.717070551180576</v>
      </c>
      <c r="F660" s="43">
        <f t="shared" si="41"/>
        <v>15.24</v>
      </c>
      <c r="G660" s="43">
        <f t="shared" si="42"/>
        <v>3102.6407759999602</v>
      </c>
      <c r="H660" s="43">
        <f t="shared" si="43"/>
        <v>141.49182016535252</v>
      </c>
      <c r="I660" s="42"/>
    </row>
    <row r="661" spans="1:9" ht="12.75" customHeight="1">
      <c r="A661" s="43">
        <v>150</v>
      </c>
      <c r="B661" s="43">
        <v>6</v>
      </c>
      <c r="C661" s="43">
        <v>500</v>
      </c>
      <c r="D661" s="43">
        <v>554</v>
      </c>
      <c r="E661" s="43">
        <f t="shared" si="40"/>
        <v>40.717070551180576</v>
      </c>
      <c r="F661" s="43">
        <f t="shared" si="41"/>
        <v>15.24</v>
      </c>
      <c r="G661" s="43">
        <f t="shared" si="42"/>
        <v>3447.3786399999558</v>
      </c>
      <c r="H661" s="43">
        <f t="shared" si="43"/>
        <v>150.38171390236027</v>
      </c>
      <c r="I661" s="42"/>
    </row>
    <row r="662" spans="1:9" ht="12.75" customHeight="1">
      <c r="A662" s="43">
        <v>150</v>
      </c>
      <c r="B662" s="43">
        <v>6</v>
      </c>
      <c r="C662" s="43">
        <v>550</v>
      </c>
      <c r="D662" s="43">
        <v>584.20000000000005</v>
      </c>
      <c r="E662" s="43">
        <f t="shared" si="40"/>
        <v>40.717070551180576</v>
      </c>
      <c r="F662" s="43">
        <f t="shared" si="41"/>
        <v>15.24</v>
      </c>
      <c r="G662" s="43">
        <f t="shared" si="42"/>
        <v>3792.1165039999514</v>
      </c>
      <c r="H662" s="43">
        <f t="shared" si="43"/>
        <v>158.57941743999797</v>
      </c>
      <c r="I662" s="42"/>
    </row>
    <row r="663" spans="1:9" ht="12.75" customHeight="1">
      <c r="A663" s="43">
        <v>150</v>
      </c>
      <c r="B663" s="43">
        <v>6</v>
      </c>
      <c r="C663" s="43">
        <v>600</v>
      </c>
      <c r="D663" s="43">
        <v>614.40000000000009</v>
      </c>
      <c r="E663" s="43">
        <f t="shared" si="40"/>
        <v>40.717070551180576</v>
      </c>
      <c r="F663" s="43">
        <f t="shared" si="41"/>
        <v>15.24</v>
      </c>
      <c r="G663" s="43">
        <f t="shared" si="42"/>
        <v>4136.8543679999475</v>
      </c>
      <c r="H663" s="43">
        <f t="shared" si="43"/>
        <v>166.77712097763566</v>
      </c>
      <c r="I663" s="42"/>
    </row>
    <row r="664" spans="1:9" ht="12.75" customHeight="1">
      <c r="A664" s="43">
        <v>150</v>
      </c>
      <c r="B664" s="43">
        <v>6</v>
      </c>
      <c r="C664" s="43">
        <v>650</v>
      </c>
      <c r="D664" s="43">
        <v>644.60000000000014</v>
      </c>
      <c r="E664" s="43">
        <f t="shared" si="40"/>
        <v>40.717070551180576</v>
      </c>
      <c r="F664" s="43">
        <f t="shared" si="41"/>
        <v>15.24</v>
      </c>
      <c r="G664" s="43">
        <f t="shared" si="42"/>
        <v>4481.5922319999427</v>
      </c>
      <c r="H664" s="43">
        <f t="shared" si="43"/>
        <v>174.97482451527338</v>
      </c>
      <c r="I664" s="42"/>
    </row>
    <row r="665" spans="1:9" ht="12.75" customHeight="1">
      <c r="A665" s="43">
        <v>150</v>
      </c>
      <c r="B665" s="43">
        <v>6</v>
      </c>
      <c r="C665" s="43">
        <v>700</v>
      </c>
      <c r="D665" s="43">
        <v>674.80000000000018</v>
      </c>
      <c r="E665" s="43">
        <f t="shared" si="40"/>
        <v>40.717070551180576</v>
      </c>
      <c r="F665" s="43">
        <f t="shared" si="41"/>
        <v>15.24</v>
      </c>
      <c r="G665" s="43">
        <f t="shared" si="42"/>
        <v>4826.3300959999378</v>
      </c>
      <c r="H665" s="43">
        <f t="shared" si="43"/>
        <v>183.17252805291108</v>
      </c>
      <c r="I665" s="42"/>
    </row>
    <row r="666" spans="1:9" ht="12.75" customHeight="1">
      <c r="A666" s="43">
        <v>150</v>
      </c>
      <c r="B666" s="43">
        <v>6</v>
      </c>
      <c r="C666" s="43">
        <v>750</v>
      </c>
      <c r="D666" s="43">
        <v>705.00000000000023</v>
      </c>
      <c r="E666" s="43">
        <f t="shared" si="40"/>
        <v>40.717070551180576</v>
      </c>
      <c r="F666" s="43">
        <f t="shared" si="41"/>
        <v>15.24</v>
      </c>
      <c r="G666" s="43">
        <f t="shared" si="42"/>
        <v>5171.0679599999339</v>
      </c>
      <c r="H666" s="43">
        <f t="shared" si="43"/>
        <v>191.37023159054877</v>
      </c>
      <c r="I666" s="42"/>
    </row>
    <row r="667" spans="1:9" ht="12.75" customHeight="1">
      <c r="A667" s="43">
        <v>150</v>
      </c>
      <c r="B667" s="43">
        <v>6</v>
      </c>
      <c r="C667" s="43">
        <v>800</v>
      </c>
      <c r="D667" s="43">
        <v>735.20000000000027</v>
      </c>
      <c r="E667" s="43">
        <f t="shared" si="40"/>
        <v>40.717070551180576</v>
      </c>
      <c r="F667" s="43">
        <f t="shared" si="41"/>
        <v>15.24</v>
      </c>
      <c r="G667" s="43">
        <f t="shared" si="42"/>
        <v>5515.8058239999291</v>
      </c>
      <c r="H667" s="43">
        <f t="shared" si="43"/>
        <v>199.56793512818649</v>
      </c>
      <c r="I667" s="42"/>
    </row>
    <row r="668" spans="1:9" ht="12.75" customHeight="1">
      <c r="A668" s="43">
        <v>150</v>
      </c>
      <c r="B668" s="43">
        <v>6</v>
      </c>
      <c r="C668" s="43">
        <v>850</v>
      </c>
      <c r="D668" s="43">
        <v>765.40000000000032</v>
      </c>
      <c r="E668" s="43">
        <f t="shared" si="40"/>
        <v>40.717070551180576</v>
      </c>
      <c r="F668" s="43">
        <f t="shared" si="41"/>
        <v>15.24</v>
      </c>
      <c r="G668" s="43">
        <f t="shared" si="42"/>
        <v>5860.5436879999252</v>
      </c>
      <c r="H668" s="43">
        <f t="shared" si="43"/>
        <v>207.76563866582418</v>
      </c>
      <c r="I668" s="42"/>
    </row>
    <row r="669" spans="1:9" ht="12.75" customHeight="1">
      <c r="A669" s="43">
        <v>150</v>
      </c>
      <c r="B669" s="43">
        <v>6</v>
      </c>
      <c r="C669" s="43">
        <v>900</v>
      </c>
      <c r="D669" s="43">
        <v>795.60000000000036</v>
      </c>
      <c r="E669" s="43">
        <f t="shared" si="40"/>
        <v>40.717070551180576</v>
      </c>
      <c r="F669" s="43">
        <f t="shared" si="41"/>
        <v>15.24</v>
      </c>
      <c r="G669" s="43">
        <f t="shared" si="42"/>
        <v>6205.2815519999203</v>
      </c>
      <c r="H669" s="43">
        <f t="shared" si="43"/>
        <v>215.96334220346188</v>
      </c>
      <c r="I669" s="42"/>
    </row>
    <row r="670" spans="1:9" ht="12.75" customHeight="1">
      <c r="A670" s="43">
        <v>150</v>
      </c>
      <c r="B670" s="43">
        <v>6</v>
      </c>
      <c r="C670" s="43">
        <v>950</v>
      </c>
      <c r="D670" s="43">
        <v>825.80000000000041</v>
      </c>
      <c r="E670" s="43">
        <f t="shared" si="40"/>
        <v>40.717070551180576</v>
      </c>
      <c r="F670" s="43">
        <f t="shared" si="41"/>
        <v>15.24</v>
      </c>
      <c r="G670" s="43">
        <f t="shared" si="42"/>
        <v>6550.0194159999164</v>
      </c>
      <c r="H670" s="43">
        <f t="shared" si="43"/>
        <v>224.1610457410996</v>
      </c>
      <c r="I670" s="42"/>
    </row>
    <row r="671" spans="1:9" ht="12.75" customHeight="1">
      <c r="A671" s="43">
        <v>150</v>
      </c>
      <c r="B671" s="43">
        <v>6</v>
      </c>
      <c r="C671" s="43">
        <v>1000</v>
      </c>
      <c r="D671" s="43">
        <v>856</v>
      </c>
      <c r="E671" s="43">
        <f t="shared" si="40"/>
        <v>40.717070551180576</v>
      </c>
      <c r="F671" s="43">
        <f t="shared" si="41"/>
        <v>15.24</v>
      </c>
      <c r="G671" s="43">
        <f t="shared" si="42"/>
        <v>6894.7572799999116</v>
      </c>
      <c r="H671" s="43">
        <f t="shared" si="43"/>
        <v>232.35874927873718</v>
      </c>
      <c r="I671" s="42"/>
    </row>
    <row r="672" spans="1:9" ht="12.75" customHeight="1">
      <c r="A672" s="43">
        <v>150</v>
      </c>
      <c r="B672" s="43">
        <v>6</v>
      </c>
      <c r="C672" s="43">
        <v>1100</v>
      </c>
      <c r="D672" s="43">
        <v>909.9</v>
      </c>
      <c r="E672" s="43">
        <f t="shared" si="40"/>
        <v>40.717070551180576</v>
      </c>
      <c r="F672" s="43">
        <f t="shared" si="41"/>
        <v>15.24</v>
      </c>
      <c r="G672" s="43">
        <f t="shared" si="42"/>
        <v>7584.2330079999028</v>
      </c>
      <c r="H672" s="43">
        <f t="shared" si="43"/>
        <v>246.98974996346141</v>
      </c>
      <c r="I672" s="42"/>
    </row>
    <row r="673" spans="1:9" ht="12.75" customHeight="1">
      <c r="A673" s="43">
        <v>150</v>
      </c>
      <c r="B673" s="43">
        <v>6</v>
      </c>
      <c r="C673" s="43">
        <v>1200</v>
      </c>
      <c r="D673" s="43">
        <v>963.8</v>
      </c>
      <c r="E673" s="43">
        <f t="shared" si="40"/>
        <v>40.717070551180576</v>
      </c>
      <c r="F673" s="43">
        <f t="shared" si="41"/>
        <v>15.24</v>
      </c>
      <c r="G673" s="43">
        <f t="shared" si="42"/>
        <v>8273.708735999895</v>
      </c>
      <c r="H673" s="43">
        <f t="shared" si="43"/>
        <v>261.62075064818561</v>
      </c>
      <c r="I673" s="42"/>
    </row>
    <row r="674" spans="1:9" ht="12.75" customHeight="1">
      <c r="A674" s="43">
        <v>150</v>
      </c>
      <c r="B674" s="43">
        <v>6</v>
      </c>
      <c r="C674" s="43">
        <v>1300</v>
      </c>
      <c r="D674" s="43">
        <v>1017.6999999999999</v>
      </c>
      <c r="E674" s="43">
        <f t="shared" si="40"/>
        <v>40.717070551180576</v>
      </c>
      <c r="F674" s="43">
        <f t="shared" si="41"/>
        <v>15.24</v>
      </c>
      <c r="G674" s="43">
        <f t="shared" si="42"/>
        <v>8963.1844639998853</v>
      </c>
      <c r="H674" s="43">
        <f t="shared" si="43"/>
        <v>276.25175133290981</v>
      </c>
      <c r="I674" s="42"/>
    </row>
    <row r="675" spans="1:9" ht="12.75" customHeight="1">
      <c r="A675" s="43">
        <v>150</v>
      </c>
      <c r="B675" s="43">
        <v>6</v>
      </c>
      <c r="C675" s="43">
        <v>1400</v>
      </c>
      <c r="D675" s="43">
        <v>1071.5999999999999</v>
      </c>
      <c r="E675" s="43">
        <f t="shared" si="40"/>
        <v>40.717070551180576</v>
      </c>
      <c r="F675" s="43">
        <f t="shared" si="41"/>
        <v>15.24</v>
      </c>
      <c r="G675" s="43">
        <f t="shared" si="42"/>
        <v>9652.6601919998757</v>
      </c>
      <c r="H675" s="43">
        <f t="shared" si="43"/>
        <v>290.882752017634</v>
      </c>
      <c r="I675" s="42"/>
    </row>
    <row r="676" spans="1:9" ht="12.75" customHeight="1">
      <c r="A676" s="43">
        <v>150</v>
      </c>
      <c r="B676" s="43">
        <v>6</v>
      </c>
      <c r="C676" s="43">
        <v>1500</v>
      </c>
      <c r="D676" s="43">
        <v>1125.5</v>
      </c>
      <c r="E676" s="43">
        <f t="shared" si="40"/>
        <v>40.717070551180576</v>
      </c>
      <c r="F676" s="43">
        <f t="shared" si="41"/>
        <v>15.24</v>
      </c>
      <c r="G676" s="43">
        <f t="shared" si="42"/>
        <v>10342.135919999868</v>
      </c>
      <c r="H676" s="43">
        <f t="shared" si="43"/>
        <v>305.51375270235826</v>
      </c>
      <c r="I676" s="42"/>
    </row>
    <row r="677" spans="1:9" ht="12.75" customHeight="1">
      <c r="A677" s="43">
        <v>150</v>
      </c>
      <c r="B677" s="43">
        <v>6</v>
      </c>
      <c r="C677" s="43">
        <v>1600</v>
      </c>
      <c r="D677" s="43">
        <v>1179.4000000000001</v>
      </c>
      <c r="E677" s="43">
        <f t="shared" si="40"/>
        <v>40.717070551180576</v>
      </c>
      <c r="F677" s="43">
        <f t="shared" si="41"/>
        <v>15.24</v>
      </c>
      <c r="G677" s="43">
        <f t="shared" si="42"/>
        <v>11031.611647999858</v>
      </c>
      <c r="H677" s="43">
        <f t="shared" si="43"/>
        <v>320.14475338708252</v>
      </c>
      <c r="I677" s="42"/>
    </row>
    <row r="678" spans="1:9" ht="12.75" customHeight="1">
      <c r="A678" s="43">
        <v>150</v>
      </c>
      <c r="B678" s="43">
        <v>6</v>
      </c>
      <c r="C678" s="43">
        <v>1700</v>
      </c>
      <c r="D678" s="43">
        <v>1233.3000000000002</v>
      </c>
      <c r="E678" s="43">
        <f t="shared" si="40"/>
        <v>40.717070551180576</v>
      </c>
      <c r="F678" s="43">
        <f t="shared" si="41"/>
        <v>15.24</v>
      </c>
      <c r="G678" s="43">
        <f t="shared" si="42"/>
        <v>11721.08737599985</v>
      </c>
      <c r="H678" s="43">
        <f t="shared" si="43"/>
        <v>334.77575407180677</v>
      </c>
      <c r="I678" s="42"/>
    </row>
    <row r="679" spans="1:9" ht="12.75" customHeight="1">
      <c r="A679" s="43">
        <v>150</v>
      </c>
      <c r="B679" s="43">
        <v>6</v>
      </c>
      <c r="C679" s="43">
        <v>1800</v>
      </c>
      <c r="D679" s="43">
        <v>1287.2000000000003</v>
      </c>
      <c r="E679" s="43">
        <f t="shared" si="40"/>
        <v>40.717070551180576</v>
      </c>
      <c r="F679" s="43">
        <f t="shared" si="41"/>
        <v>15.24</v>
      </c>
      <c r="G679" s="43">
        <f t="shared" si="42"/>
        <v>12410.563103999841</v>
      </c>
      <c r="H679" s="43">
        <f t="shared" si="43"/>
        <v>349.40675475653103</v>
      </c>
      <c r="I679" s="42"/>
    </row>
    <row r="680" spans="1:9" ht="12.75" customHeight="1">
      <c r="A680" s="43">
        <v>150</v>
      </c>
      <c r="B680" s="43">
        <v>6</v>
      </c>
      <c r="C680" s="43">
        <v>1900</v>
      </c>
      <c r="D680" s="43">
        <v>1341.1000000000004</v>
      </c>
      <c r="E680" s="43">
        <f t="shared" si="40"/>
        <v>40.717070551180576</v>
      </c>
      <c r="F680" s="43">
        <f t="shared" si="41"/>
        <v>15.24</v>
      </c>
      <c r="G680" s="43">
        <f t="shared" si="42"/>
        <v>13100.038831999833</v>
      </c>
      <c r="H680" s="43">
        <f t="shared" si="43"/>
        <v>364.03775544125529</v>
      </c>
      <c r="I680" s="42"/>
    </row>
    <row r="681" spans="1:9" ht="12.75" customHeight="1">
      <c r="A681" s="43">
        <v>150</v>
      </c>
      <c r="B681" s="43">
        <v>6</v>
      </c>
      <c r="C681" s="43">
        <v>2000</v>
      </c>
      <c r="D681" s="43">
        <v>1395</v>
      </c>
      <c r="E681" s="43">
        <f t="shared" si="40"/>
        <v>40.717070551180576</v>
      </c>
      <c r="F681" s="43">
        <f t="shared" si="41"/>
        <v>15.24</v>
      </c>
      <c r="G681" s="43">
        <f t="shared" si="42"/>
        <v>13789.514559999823</v>
      </c>
      <c r="H681" s="43">
        <f t="shared" si="43"/>
        <v>378.66875612597943</v>
      </c>
      <c r="I681" s="42"/>
    </row>
    <row r="682" spans="1:9" ht="12.75" customHeight="1">
      <c r="A682" s="43">
        <v>200</v>
      </c>
      <c r="B682" s="43">
        <v>2</v>
      </c>
      <c r="C682" s="43">
        <v>50</v>
      </c>
      <c r="D682" s="43">
        <v>230</v>
      </c>
      <c r="E682" s="43">
        <f t="shared" si="40"/>
        <v>54.289427401574109</v>
      </c>
      <c r="F682" s="43">
        <f t="shared" si="41"/>
        <v>5.08</v>
      </c>
      <c r="G682" s="43">
        <f t="shared" si="42"/>
        <v>344.73786399999557</v>
      </c>
      <c r="H682" s="43">
        <f t="shared" si="43"/>
        <v>62.432841511810217</v>
      </c>
      <c r="I682" s="42"/>
    </row>
    <row r="683" spans="1:9" ht="12.75" customHeight="1">
      <c r="A683" s="43">
        <v>200</v>
      </c>
      <c r="B683" s="43">
        <v>2</v>
      </c>
      <c r="C683" s="43">
        <v>60</v>
      </c>
      <c r="D683" s="43">
        <v>231.6</v>
      </c>
      <c r="E683" s="43">
        <f t="shared" si="40"/>
        <v>54.289427401574109</v>
      </c>
      <c r="F683" s="43">
        <f t="shared" si="41"/>
        <v>5.08</v>
      </c>
      <c r="G683" s="43">
        <f t="shared" si="42"/>
        <v>413.6854367999947</v>
      </c>
      <c r="H683" s="43">
        <f t="shared" si="43"/>
        <v>62.867156931022812</v>
      </c>
      <c r="I683" s="42"/>
    </row>
    <row r="684" spans="1:9" ht="12.75" customHeight="1">
      <c r="A684" s="43">
        <v>200</v>
      </c>
      <c r="B684" s="43">
        <v>2</v>
      </c>
      <c r="C684" s="43">
        <v>70</v>
      </c>
      <c r="D684" s="43">
        <v>233.2</v>
      </c>
      <c r="E684" s="43">
        <f t="shared" si="40"/>
        <v>54.289427401574109</v>
      </c>
      <c r="F684" s="43">
        <f t="shared" si="41"/>
        <v>5.08</v>
      </c>
      <c r="G684" s="43">
        <f t="shared" si="42"/>
        <v>482.63300959999384</v>
      </c>
      <c r="H684" s="43">
        <f t="shared" si="43"/>
        <v>63.3014723502354</v>
      </c>
      <c r="I684" s="42"/>
    </row>
    <row r="685" spans="1:9" ht="12.75" customHeight="1">
      <c r="A685" s="43">
        <v>200</v>
      </c>
      <c r="B685" s="43">
        <v>2</v>
      </c>
      <c r="C685" s="43">
        <v>80</v>
      </c>
      <c r="D685" s="43">
        <v>234.79999999999998</v>
      </c>
      <c r="E685" s="43">
        <f t="shared" si="40"/>
        <v>54.289427401574109</v>
      </c>
      <c r="F685" s="43">
        <f t="shared" si="41"/>
        <v>5.08</v>
      </c>
      <c r="G685" s="43">
        <f t="shared" si="42"/>
        <v>551.58058239999298</v>
      </c>
      <c r="H685" s="43">
        <f t="shared" si="43"/>
        <v>63.735787769447995</v>
      </c>
      <c r="I685" s="42"/>
    </row>
    <row r="686" spans="1:9" ht="12.75" customHeight="1">
      <c r="A686" s="43">
        <v>200</v>
      </c>
      <c r="B686" s="43">
        <v>2</v>
      </c>
      <c r="C686" s="43">
        <v>90</v>
      </c>
      <c r="D686" s="43">
        <v>236.39999999999998</v>
      </c>
      <c r="E686" s="43">
        <f t="shared" si="40"/>
        <v>54.289427401574109</v>
      </c>
      <c r="F686" s="43">
        <f t="shared" si="41"/>
        <v>5.08</v>
      </c>
      <c r="G686" s="43">
        <f t="shared" si="42"/>
        <v>620.52815519999206</v>
      </c>
      <c r="H686" s="43">
        <f t="shared" si="43"/>
        <v>64.17010318866059</v>
      </c>
      <c r="I686" s="42"/>
    </row>
    <row r="687" spans="1:9" ht="12.75" customHeight="1">
      <c r="A687" s="43">
        <v>200</v>
      </c>
      <c r="B687" s="43">
        <v>2</v>
      </c>
      <c r="C687" s="43">
        <v>100</v>
      </c>
      <c r="D687" s="43">
        <v>238</v>
      </c>
      <c r="E687" s="43">
        <f t="shared" si="40"/>
        <v>54.289427401574109</v>
      </c>
      <c r="F687" s="43">
        <f t="shared" si="41"/>
        <v>5.08</v>
      </c>
      <c r="G687" s="43">
        <f t="shared" si="42"/>
        <v>689.47572799999114</v>
      </c>
      <c r="H687" s="43">
        <f t="shared" si="43"/>
        <v>64.604418607873185</v>
      </c>
      <c r="I687" s="42"/>
    </row>
    <row r="688" spans="1:9" ht="12.75" customHeight="1">
      <c r="A688" s="43">
        <v>200</v>
      </c>
      <c r="B688" s="43">
        <v>2</v>
      </c>
      <c r="C688" s="43">
        <v>150</v>
      </c>
      <c r="D688" s="43">
        <v>242.5</v>
      </c>
      <c r="E688" s="43">
        <f t="shared" si="40"/>
        <v>54.289427401574109</v>
      </c>
      <c r="F688" s="43">
        <f t="shared" si="41"/>
        <v>5.08</v>
      </c>
      <c r="G688" s="43">
        <f t="shared" si="42"/>
        <v>1034.2135919999869</v>
      </c>
      <c r="H688" s="43">
        <f t="shared" si="43"/>
        <v>65.825930724408607</v>
      </c>
      <c r="I688" s="42"/>
    </row>
    <row r="689" spans="1:9" ht="12.75" customHeight="1">
      <c r="A689" s="43">
        <v>200</v>
      </c>
      <c r="B689" s="43">
        <v>2</v>
      </c>
      <c r="C689" s="43">
        <v>200</v>
      </c>
      <c r="D689" s="43">
        <v>247</v>
      </c>
      <c r="E689" s="43">
        <f t="shared" si="40"/>
        <v>54.289427401574109</v>
      </c>
      <c r="F689" s="43">
        <f t="shared" si="41"/>
        <v>5.08</v>
      </c>
      <c r="G689" s="43">
        <f t="shared" si="42"/>
        <v>1378.9514559999823</v>
      </c>
      <c r="H689" s="43">
        <f t="shared" si="43"/>
        <v>67.047442840944029</v>
      </c>
      <c r="I689" s="42"/>
    </row>
    <row r="690" spans="1:9" ht="12.75" customHeight="1">
      <c r="A690" s="43">
        <v>200</v>
      </c>
      <c r="B690" s="43">
        <v>2</v>
      </c>
      <c r="C690" s="43">
        <v>250</v>
      </c>
      <c r="D690" s="43">
        <v>251.5</v>
      </c>
      <c r="E690" s="43">
        <f t="shared" si="40"/>
        <v>54.289427401574109</v>
      </c>
      <c r="F690" s="43">
        <f t="shared" si="41"/>
        <v>5.08</v>
      </c>
      <c r="G690" s="43">
        <f t="shared" si="42"/>
        <v>1723.6893199999779</v>
      </c>
      <c r="H690" s="43">
        <f t="shared" si="43"/>
        <v>68.268954957479437</v>
      </c>
      <c r="I690" s="42"/>
    </row>
    <row r="691" spans="1:9" ht="12.75" customHeight="1">
      <c r="A691" s="43">
        <v>200</v>
      </c>
      <c r="B691" s="43">
        <v>2</v>
      </c>
      <c r="C691" s="43">
        <v>300</v>
      </c>
      <c r="D691" s="43">
        <v>256</v>
      </c>
      <c r="E691" s="43">
        <f t="shared" si="40"/>
        <v>54.289427401574109</v>
      </c>
      <c r="F691" s="43">
        <f t="shared" si="41"/>
        <v>5.08</v>
      </c>
      <c r="G691" s="43">
        <f t="shared" si="42"/>
        <v>2068.4271839999737</v>
      </c>
      <c r="H691" s="43">
        <f t="shared" si="43"/>
        <v>69.490467074014859</v>
      </c>
      <c r="I691" s="42"/>
    </row>
    <row r="692" spans="1:9" ht="12.75" customHeight="1">
      <c r="A692" s="43">
        <v>200</v>
      </c>
      <c r="B692" s="43">
        <v>2</v>
      </c>
      <c r="C692" s="43">
        <v>350</v>
      </c>
      <c r="D692" s="43">
        <v>259.5</v>
      </c>
      <c r="E692" s="43">
        <f t="shared" si="40"/>
        <v>54.289427401574109</v>
      </c>
      <c r="F692" s="43">
        <f t="shared" si="41"/>
        <v>5.08</v>
      </c>
      <c r="G692" s="43">
        <f t="shared" si="42"/>
        <v>2413.1650479999689</v>
      </c>
      <c r="H692" s="43">
        <f t="shared" si="43"/>
        <v>70.440532053542398</v>
      </c>
      <c r="I692" s="42"/>
    </row>
    <row r="693" spans="1:9" ht="12.75" customHeight="1">
      <c r="A693" s="43">
        <v>200</v>
      </c>
      <c r="B693" s="43">
        <v>2</v>
      </c>
      <c r="C693" s="43">
        <v>400</v>
      </c>
      <c r="D693" s="43">
        <v>263</v>
      </c>
      <c r="E693" s="43">
        <f t="shared" si="40"/>
        <v>54.289427401574109</v>
      </c>
      <c r="F693" s="43">
        <f t="shared" si="41"/>
        <v>5.08</v>
      </c>
      <c r="G693" s="43">
        <f t="shared" si="42"/>
        <v>2757.9029119999645</v>
      </c>
      <c r="H693" s="43">
        <f t="shared" si="43"/>
        <v>71.390597033069952</v>
      </c>
      <c r="I693" s="42"/>
    </row>
    <row r="694" spans="1:9" ht="12.75" customHeight="1">
      <c r="A694" s="43">
        <v>200</v>
      </c>
      <c r="B694" s="43">
        <v>2</v>
      </c>
      <c r="C694" s="43">
        <v>450</v>
      </c>
      <c r="D694" s="43">
        <v>266.5</v>
      </c>
      <c r="E694" s="43">
        <f t="shared" si="40"/>
        <v>54.289427401574109</v>
      </c>
      <c r="F694" s="43">
        <f t="shared" si="41"/>
        <v>5.08</v>
      </c>
      <c r="G694" s="43">
        <f t="shared" si="42"/>
        <v>3102.6407759999602</v>
      </c>
      <c r="H694" s="43">
        <f t="shared" si="43"/>
        <v>72.340662012597491</v>
      </c>
      <c r="I694" s="42"/>
    </row>
    <row r="695" spans="1:9" ht="12.75" customHeight="1">
      <c r="A695" s="43">
        <v>200</v>
      </c>
      <c r="B695" s="43">
        <v>2</v>
      </c>
      <c r="C695" s="43">
        <v>500</v>
      </c>
      <c r="D695" s="43">
        <v>270</v>
      </c>
      <c r="E695" s="43">
        <f t="shared" si="40"/>
        <v>54.289427401574109</v>
      </c>
      <c r="F695" s="43">
        <f t="shared" si="41"/>
        <v>5.08</v>
      </c>
      <c r="G695" s="43">
        <f t="shared" si="42"/>
        <v>3447.3786399999558</v>
      </c>
      <c r="H695" s="43">
        <f t="shared" si="43"/>
        <v>73.290726992125045</v>
      </c>
      <c r="I695" s="42"/>
    </row>
    <row r="696" spans="1:9" ht="12.75" customHeight="1">
      <c r="A696" s="43">
        <v>200</v>
      </c>
      <c r="B696" s="43">
        <v>2</v>
      </c>
      <c r="C696" s="43">
        <v>550</v>
      </c>
      <c r="D696" s="43">
        <v>272.89999999999998</v>
      </c>
      <c r="E696" s="43">
        <f t="shared" si="40"/>
        <v>54.289427401574109</v>
      </c>
      <c r="F696" s="43">
        <f t="shared" si="41"/>
        <v>5.08</v>
      </c>
      <c r="G696" s="43">
        <f t="shared" si="42"/>
        <v>3792.1165039999514</v>
      </c>
      <c r="H696" s="43">
        <f t="shared" si="43"/>
        <v>74.077923689447857</v>
      </c>
      <c r="I696" s="42"/>
    </row>
    <row r="697" spans="1:9" ht="12.75" customHeight="1">
      <c r="A697" s="43">
        <v>200</v>
      </c>
      <c r="B697" s="43">
        <v>2</v>
      </c>
      <c r="C697" s="43">
        <v>600</v>
      </c>
      <c r="D697" s="43">
        <v>275.79999999999995</v>
      </c>
      <c r="E697" s="43">
        <f t="shared" si="40"/>
        <v>54.289427401574109</v>
      </c>
      <c r="F697" s="43">
        <f t="shared" si="41"/>
        <v>5.08</v>
      </c>
      <c r="G697" s="43">
        <f t="shared" si="42"/>
        <v>4136.8543679999475</v>
      </c>
      <c r="H697" s="43">
        <f t="shared" si="43"/>
        <v>74.865120386770684</v>
      </c>
      <c r="I697" s="42"/>
    </row>
    <row r="698" spans="1:9" ht="12.75" customHeight="1">
      <c r="A698" s="43">
        <v>200</v>
      </c>
      <c r="B698" s="43">
        <v>2</v>
      </c>
      <c r="C698" s="43">
        <v>650</v>
      </c>
      <c r="D698" s="43">
        <v>278.69999999999993</v>
      </c>
      <c r="E698" s="43">
        <f t="shared" si="40"/>
        <v>54.289427401574109</v>
      </c>
      <c r="F698" s="43">
        <f t="shared" si="41"/>
        <v>5.08</v>
      </c>
      <c r="G698" s="43">
        <f t="shared" si="42"/>
        <v>4481.5922319999427</v>
      </c>
      <c r="H698" s="43">
        <f t="shared" si="43"/>
        <v>75.652317084093497</v>
      </c>
      <c r="I698" s="42"/>
    </row>
    <row r="699" spans="1:9" ht="12.75" customHeight="1">
      <c r="A699" s="43">
        <v>200</v>
      </c>
      <c r="B699" s="43">
        <v>2</v>
      </c>
      <c r="C699" s="43">
        <v>700</v>
      </c>
      <c r="D699" s="43">
        <v>281.59999999999991</v>
      </c>
      <c r="E699" s="43">
        <f t="shared" si="40"/>
        <v>54.289427401574109</v>
      </c>
      <c r="F699" s="43">
        <f t="shared" si="41"/>
        <v>5.08</v>
      </c>
      <c r="G699" s="43">
        <f t="shared" si="42"/>
        <v>4826.3300959999378</v>
      </c>
      <c r="H699" s="43">
        <f t="shared" si="43"/>
        <v>76.439513781416309</v>
      </c>
      <c r="I699" s="42"/>
    </row>
    <row r="700" spans="1:9" ht="12.75" customHeight="1">
      <c r="A700" s="43">
        <v>200</v>
      </c>
      <c r="B700" s="43">
        <v>2</v>
      </c>
      <c r="C700" s="43">
        <v>750</v>
      </c>
      <c r="D700" s="43">
        <v>284.49999999999989</v>
      </c>
      <c r="E700" s="43">
        <f t="shared" si="40"/>
        <v>54.289427401574109</v>
      </c>
      <c r="F700" s="43">
        <f t="shared" si="41"/>
        <v>5.08</v>
      </c>
      <c r="G700" s="43">
        <f t="shared" si="42"/>
        <v>5171.0679599999339</v>
      </c>
      <c r="H700" s="43">
        <f t="shared" si="43"/>
        <v>77.226710478739136</v>
      </c>
      <c r="I700" s="42"/>
    </row>
    <row r="701" spans="1:9" ht="12.75" customHeight="1">
      <c r="A701" s="43">
        <v>200</v>
      </c>
      <c r="B701" s="43">
        <v>2</v>
      </c>
      <c r="C701" s="43">
        <v>800</v>
      </c>
      <c r="D701" s="43">
        <v>287.39999999999986</v>
      </c>
      <c r="E701" s="43">
        <f t="shared" si="40"/>
        <v>54.289427401574109</v>
      </c>
      <c r="F701" s="43">
        <f t="shared" si="41"/>
        <v>5.08</v>
      </c>
      <c r="G701" s="43">
        <f t="shared" si="42"/>
        <v>5515.8058239999291</v>
      </c>
      <c r="H701" s="43">
        <f t="shared" si="43"/>
        <v>78.013907176061949</v>
      </c>
      <c r="I701" s="42"/>
    </row>
    <row r="702" spans="1:9" ht="12.75" customHeight="1">
      <c r="A702" s="43">
        <v>200</v>
      </c>
      <c r="B702" s="43">
        <v>2</v>
      </c>
      <c r="C702" s="43">
        <v>850</v>
      </c>
      <c r="D702" s="43">
        <v>290.29999999999984</v>
      </c>
      <c r="E702" s="43">
        <f t="shared" si="40"/>
        <v>54.289427401574109</v>
      </c>
      <c r="F702" s="43">
        <f t="shared" si="41"/>
        <v>5.08</v>
      </c>
      <c r="G702" s="43">
        <f t="shared" si="42"/>
        <v>5860.5436879999252</v>
      </c>
      <c r="H702" s="43">
        <f t="shared" si="43"/>
        <v>78.801103873384761</v>
      </c>
      <c r="I702" s="42"/>
    </row>
    <row r="703" spans="1:9" ht="12.75" customHeight="1">
      <c r="A703" s="43">
        <v>200</v>
      </c>
      <c r="B703" s="43">
        <v>2</v>
      </c>
      <c r="C703" s="43">
        <v>900</v>
      </c>
      <c r="D703" s="43">
        <v>293.19999999999982</v>
      </c>
      <c r="E703" s="43">
        <f t="shared" si="40"/>
        <v>54.289427401574109</v>
      </c>
      <c r="F703" s="43">
        <f t="shared" si="41"/>
        <v>5.08</v>
      </c>
      <c r="G703" s="43">
        <f t="shared" si="42"/>
        <v>6205.2815519999203</v>
      </c>
      <c r="H703" s="43">
        <f t="shared" si="43"/>
        <v>79.588300570707588</v>
      </c>
      <c r="I703" s="42"/>
    </row>
    <row r="704" spans="1:9" ht="12.75" customHeight="1">
      <c r="A704" s="43">
        <v>200</v>
      </c>
      <c r="B704" s="43">
        <v>2</v>
      </c>
      <c r="C704" s="43">
        <v>950</v>
      </c>
      <c r="D704" s="43">
        <v>296.0999999999998</v>
      </c>
      <c r="E704" s="43">
        <f t="shared" si="40"/>
        <v>54.289427401574109</v>
      </c>
      <c r="F704" s="43">
        <f t="shared" si="41"/>
        <v>5.08</v>
      </c>
      <c r="G704" s="43">
        <f t="shared" si="42"/>
        <v>6550.0194159999164</v>
      </c>
      <c r="H704" s="43">
        <f t="shared" si="43"/>
        <v>80.375497268030415</v>
      </c>
      <c r="I704" s="42"/>
    </row>
    <row r="705" spans="1:9" ht="12.75" customHeight="1">
      <c r="A705" s="43">
        <v>200</v>
      </c>
      <c r="B705" s="43">
        <v>2</v>
      </c>
      <c r="C705" s="43">
        <v>1000</v>
      </c>
      <c r="D705" s="43">
        <v>299</v>
      </c>
      <c r="E705" s="43">
        <f t="shared" si="40"/>
        <v>54.289427401574109</v>
      </c>
      <c r="F705" s="43">
        <f t="shared" si="41"/>
        <v>5.08</v>
      </c>
      <c r="G705" s="43">
        <f t="shared" si="42"/>
        <v>6894.7572799999116</v>
      </c>
      <c r="H705" s="43">
        <f t="shared" si="43"/>
        <v>81.162693965353284</v>
      </c>
      <c r="I705" s="42"/>
    </row>
    <row r="706" spans="1:9" ht="12.75" customHeight="1">
      <c r="A706" s="43">
        <v>200</v>
      </c>
      <c r="B706" s="43">
        <v>2</v>
      </c>
      <c r="C706" s="43">
        <v>1100</v>
      </c>
      <c r="D706" s="43">
        <v>304</v>
      </c>
      <c r="E706" s="43">
        <f t="shared" si="40"/>
        <v>54.289427401574109</v>
      </c>
      <c r="F706" s="43">
        <f t="shared" si="41"/>
        <v>5.08</v>
      </c>
      <c r="G706" s="43">
        <f t="shared" si="42"/>
        <v>7584.2330079999028</v>
      </c>
      <c r="H706" s="43">
        <f t="shared" si="43"/>
        <v>82.51992965039264</v>
      </c>
      <c r="I706" s="42"/>
    </row>
    <row r="707" spans="1:9" ht="12.75" customHeight="1">
      <c r="A707" s="43">
        <v>200</v>
      </c>
      <c r="B707" s="43">
        <v>2</v>
      </c>
      <c r="C707" s="43">
        <v>1200</v>
      </c>
      <c r="D707" s="43">
        <v>309</v>
      </c>
      <c r="E707" s="43">
        <f t="shared" ref="E707:E770" si="44">A707/145.03773800722/0.0254</f>
        <v>54.289427401574109</v>
      </c>
      <c r="F707" s="43">
        <f t="shared" ref="F707:F770" si="45">B707*2.54</f>
        <v>5.08</v>
      </c>
      <c r="G707" s="43">
        <f t="shared" ref="G707:G770" si="46">C707/0.14503773800722</f>
        <v>8273.708735999895</v>
      </c>
      <c r="H707" s="43">
        <f t="shared" ref="H707:H770" si="47">D707/145.03773800722/0.0254</f>
        <v>83.877165335431982</v>
      </c>
      <c r="I707" s="42"/>
    </row>
    <row r="708" spans="1:9" ht="12.75" customHeight="1">
      <c r="A708" s="43">
        <v>200</v>
      </c>
      <c r="B708" s="43">
        <v>2</v>
      </c>
      <c r="C708" s="43">
        <v>1300</v>
      </c>
      <c r="D708" s="43">
        <v>314</v>
      </c>
      <c r="E708" s="43">
        <f t="shared" si="44"/>
        <v>54.289427401574109</v>
      </c>
      <c r="F708" s="43">
        <f t="shared" si="45"/>
        <v>5.08</v>
      </c>
      <c r="G708" s="43">
        <f t="shared" si="46"/>
        <v>8963.1844639998853</v>
      </c>
      <c r="H708" s="43">
        <f t="shared" si="47"/>
        <v>85.234401020471338</v>
      </c>
      <c r="I708" s="42"/>
    </row>
    <row r="709" spans="1:9" ht="12.75" customHeight="1">
      <c r="A709" s="43">
        <v>200</v>
      </c>
      <c r="B709" s="43">
        <v>2</v>
      </c>
      <c r="C709" s="43">
        <v>1400</v>
      </c>
      <c r="D709" s="43">
        <v>319</v>
      </c>
      <c r="E709" s="43">
        <f t="shared" si="44"/>
        <v>54.289427401574109</v>
      </c>
      <c r="F709" s="43">
        <f t="shared" si="45"/>
        <v>5.08</v>
      </c>
      <c r="G709" s="43">
        <f t="shared" si="46"/>
        <v>9652.6601919998757</v>
      </c>
      <c r="H709" s="43">
        <f t="shared" si="47"/>
        <v>86.591636705510709</v>
      </c>
      <c r="I709" s="42"/>
    </row>
    <row r="710" spans="1:9" ht="12.75" customHeight="1">
      <c r="A710" s="43">
        <v>200</v>
      </c>
      <c r="B710" s="43">
        <v>2</v>
      </c>
      <c r="C710" s="43">
        <v>1500</v>
      </c>
      <c r="D710" s="43">
        <v>324</v>
      </c>
      <c r="E710" s="43">
        <f t="shared" si="44"/>
        <v>54.289427401574109</v>
      </c>
      <c r="F710" s="43">
        <f t="shared" si="45"/>
        <v>5.08</v>
      </c>
      <c r="G710" s="43">
        <f t="shared" si="46"/>
        <v>10342.135919999868</v>
      </c>
      <c r="H710" s="43">
        <f t="shared" si="47"/>
        <v>87.948872390550065</v>
      </c>
      <c r="I710" s="42"/>
    </row>
    <row r="711" spans="1:9" ht="12.75" customHeight="1">
      <c r="A711" s="43">
        <v>200</v>
      </c>
      <c r="B711" s="43">
        <v>2</v>
      </c>
      <c r="C711" s="43">
        <v>1600</v>
      </c>
      <c r="D711" s="43">
        <v>329</v>
      </c>
      <c r="E711" s="43">
        <f t="shared" si="44"/>
        <v>54.289427401574109</v>
      </c>
      <c r="F711" s="43">
        <f t="shared" si="45"/>
        <v>5.08</v>
      </c>
      <c r="G711" s="43">
        <f t="shared" si="46"/>
        <v>11031.611647999858</v>
      </c>
      <c r="H711" s="43">
        <f t="shared" si="47"/>
        <v>89.306108075589407</v>
      </c>
      <c r="I711" s="42"/>
    </row>
    <row r="712" spans="1:9" ht="12.75" customHeight="1">
      <c r="A712" s="43">
        <v>200</v>
      </c>
      <c r="B712" s="43">
        <v>2</v>
      </c>
      <c r="C712" s="43">
        <v>1700</v>
      </c>
      <c r="D712" s="43">
        <v>334</v>
      </c>
      <c r="E712" s="43">
        <f t="shared" si="44"/>
        <v>54.289427401574109</v>
      </c>
      <c r="F712" s="43">
        <f t="shared" si="45"/>
        <v>5.08</v>
      </c>
      <c r="G712" s="43">
        <f t="shared" si="46"/>
        <v>11721.08737599985</v>
      </c>
      <c r="H712" s="43">
        <f t="shared" si="47"/>
        <v>90.663343760628763</v>
      </c>
      <c r="I712" s="42"/>
    </row>
    <row r="713" spans="1:9" ht="12.75" customHeight="1">
      <c r="A713" s="43">
        <v>200</v>
      </c>
      <c r="B713" s="43">
        <v>2</v>
      </c>
      <c r="C713" s="43">
        <v>1800</v>
      </c>
      <c r="D713" s="43">
        <v>339</v>
      </c>
      <c r="E713" s="43">
        <f t="shared" si="44"/>
        <v>54.289427401574109</v>
      </c>
      <c r="F713" s="43">
        <f t="shared" si="45"/>
        <v>5.08</v>
      </c>
      <c r="G713" s="43">
        <f t="shared" si="46"/>
        <v>12410.563103999841</v>
      </c>
      <c r="H713" s="43">
        <f t="shared" si="47"/>
        <v>92.020579445668119</v>
      </c>
      <c r="I713" s="42"/>
    </row>
    <row r="714" spans="1:9" ht="12.75" customHeight="1">
      <c r="A714" s="43">
        <v>200</v>
      </c>
      <c r="B714" s="43">
        <v>2</v>
      </c>
      <c r="C714" s="43">
        <v>1900</v>
      </c>
      <c r="D714" s="43">
        <v>344</v>
      </c>
      <c r="E714" s="43">
        <f t="shared" si="44"/>
        <v>54.289427401574109</v>
      </c>
      <c r="F714" s="43">
        <f t="shared" si="45"/>
        <v>5.08</v>
      </c>
      <c r="G714" s="43">
        <f t="shared" si="46"/>
        <v>13100.038831999833</v>
      </c>
      <c r="H714" s="43">
        <f t="shared" si="47"/>
        <v>93.377815130707461</v>
      </c>
      <c r="I714" s="42"/>
    </row>
    <row r="715" spans="1:9" ht="12.75" customHeight="1">
      <c r="A715" s="43">
        <v>200</v>
      </c>
      <c r="B715" s="43">
        <v>2</v>
      </c>
      <c r="C715" s="43">
        <v>2000</v>
      </c>
      <c r="D715" s="43">
        <v>349</v>
      </c>
      <c r="E715" s="43">
        <f t="shared" si="44"/>
        <v>54.289427401574109</v>
      </c>
      <c r="F715" s="43">
        <f t="shared" si="45"/>
        <v>5.08</v>
      </c>
      <c r="G715" s="43">
        <f t="shared" si="46"/>
        <v>13789.514559999823</v>
      </c>
      <c r="H715" s="43">
        <f t="shared" si="47"/>
        <v>94.735050815746817</v>
      </c>
      <c r="I715" s="42"/>
    </row>
    <row r="716" spans="1:9" ht="12.75" customHeight="1">
      <c r="A716" s="43">
        <v>200</v>
      </c>
      <c r="B716" s="43">
        <v>3</v>
      </c>
      <c r="C716" s="43">
        <v>50</v>
      </c>
      <c r="D716" s="43">
        <v>241</v>
      </c>
      <c r="E716" s="43">
        <f t="shared" si="44"/>
        <v>54.289427401574109</v>
      </c>
      <c r="F716" s="43">
        <f t="shared" si="45"/>
        <v>7.62</v>
      </c>
      <c r="G716" s="43">
        <f t="shared" si="46"/>
        <v>344.73786399999557</v>
      </c>
      <c r="H716" s="43">
        <f t="shared" si="47"/>
        <v>65.418760018896791</v>
      </c>
      <c r="I716" s="42"/>
    </row>
    <row r="717" spans="1:9" ht="12.75" customHeight="1">
      <c r="A717" s="43">
        <v>200</v>
      </c>
      <c r="B717" s="43">
        <v>3</v>
      </c>
      <c r="C717" s="43">
        <v>60</v>
      </c>
      <c r="D717" s="43">
        <v>243.8</v>
      </c>
      <c r="E717" s="43">
        <f t="shared" si="44"/>
        <v>54.289427401574109</v>
      </c>
      <c r="F717" s="43">
        <f t="shared" si="45"/>
        <v>7.62</v>
      </c>
      <c r="G717" s="43">
        <f t="shared" si="46"/>
        <v>413.6854367999947</v>
      </c>
      <c r="H717" s="43">
        <f t="shared" si="47"/>
        <v>66.178812002518839</v>
      </c>
      <c r="I717" s="42"/>
    </row>
    <row r="718" spans="1:9" ht="12.75" customHeight="1">
      <c r="A718" s="43">
        <v>200</v>
      </c>
      <c r="B718" s="43">
        <v>3</v>
      </c>
      <c r="C718" s="43">
        <v>70</v>
      </c>
      <c r="D718" s="43">
        <v>246.60000000000002</v>
      </c>
      <c r="E718" s="43">
        <f t="shared" si="44"/>
        <v>54.289427401574109</v>
      </c>
      <c r="F718" s="43">
        <f t="shared" si="45"/>
        <v>7.62</v>
      </c>
      <c r="G718" s="43">
        <f t="shared" si="46"/>
        <v>482.63300959999384</v>
      </c>
      <c r="H718" s="43">
        <f t="shared" si="47"/>
        <v>66.938863986140873</v>
      </c>
      <c r="I718" s="42"/>
    </row>
    <row r="719" spans="1:9" ht="12.75" customHeight="1">
      <c r="A719" s="43">
        <v>200</v>
      </c>
      <c r="B719" s="43">
        <v>3</v>
      </c>
      <c r="C719" s="43">
        <v>80</v>
      </c>
      <c r="D719" s="43">
        <v>249.40000000000003</v>
      </c>
      <c r="E719" s="43">
        <f t="shared" si="44"/>
        <v>54.289427401574109</v>
      </c>
      <c r="F719" s="43">
        <f t="shared" si="45"/>
        <v>7.62</v>
      </c>
      <c r="G719" s="43">
        <f t="shared" si="46"/>
        <v>551.58058239999298</v>
      </c>
      <c r="H719" s="43">
        <f t="shared" si="47"/>
        <v>67.698915969762922</v>
      </c>
      <c r="I719" s="42"/>
    </row>
    <row r="720" spans="1:9" ht="12.75" customHeight="1">
      <c r="A720" s="43">
        <v>200</v>
      </c>
      <c r="B720" s="43">
        <v>3</v>
      </c>
      <c r="C720" s="43">
        <v>90</v>
      </c>
      <c r="D720" s="43">
        <v>252.20000000000005</v>
      </c>
      <c r="E720" s="43">
        <f t="shared" si="44"/>
        <v>54.289427401574109</v>
      </c>
      <c r="F720" s="43">
        <f t="shared" si="45"/>
        <v>7.62</v>
      </c>
      <c r="G720" s="43">
        <f t="shared" si="46"/>
        <v>620.52815519999206</v>
      </c>
      <c r="H720" s="43">
        <f t="shared" si="47"/>
        <v>68.458967953384956</v>
      </c>
      <c r="I720" s="42"/>
    </row>
    <row r="721" spans="1:9" ht="12.75" customHeight="1">
      <c r="A721" s="43">
        <v>200</v>
      </c>
      <c r="B721" s="43">
        <v>3</v>
      </c>
      <c r="C721" s="43">
        <v>100</v>
      </c>
      <c r="D721" s="43">
        <v>255</v>
      </c>
      <c r="E721" s="43">
        <f t="shared" si="44"/>
        <v>54.289427401574109</v>
      </c>
      <c r="F721" s="43">
        <f t="shared" si="45"/>
        <v>7.62</v>
      </c>
      <c r="G721" s="43">
        <f t="shared" si="46"/>
        <v>689.47572799999114</v>
      </c>
      <c r="H721" s="43">
        <f t="shared" si="47"/>
        <v>69.219019937006991</v>
      </c>
      <c r="I721" s="42"/>
    </row>
    <row r="722" spans="1:9" ht="12.75" customHeight="1">
      <c r="A722" s="43">
        <v>200</v>
      </c>
      <c r="B722" s="43">
        <v>3</v>
      </c>
      <c r="C722" s="43">
        <v>150</v>
      </c>
      <c r="D722" s="43">
        <v>263.75</v>
      </c>
      <c r="E722" s="43">
        <f t="shared" si="44"/>
        <v>54.289427401574109</v>
      </c>
      <c r="F722" s="43">
        <f t="shared" si="45"/>
        <v>7.62</v>
      </c>
      <c r="G722" s="43">
        <f t="shared" si="46"/>
        <v>1034.2135919999869</v>
      </c>
      <c r="H722" s="43">
        <f t="shared" si="47"/>
        <v>71.59418238582586</v>
      </c>
      <c r="I722" s="42"/>
    </row>
    <row r="723" spans="1:9" ht="12.75" customHeight="1">
      <c r="A723" s="43">
        <v>200</v>
      </c>
      <c r="B723" s="43">
        <v>3</v>
      </c>
      <c r="C723" s="43">
        <v>200</v>
      </c>
      <c r="D723" s="43">
        <v>272.5</v>
      </c>
      <c r="E723" s="43">
        <f t="shared" si="44"/>
        <v>54.289427401574109</v>
      </c>
      <c r="F723" s="43">
        <f t="shared" si="45"/>
        <v>7.62</v>
      </c>
      <c r="G723" s="43">
        <f t="shared" si="46"/>
        <v>1378.9514559999823</v>
      </c>
      <c r="H723" s="43">
        <f t="shared" si="47"/>
        <v>73.969344834644716</v>
      </c>
      <c r="I723" s="42"/>
    </row>
    <row r="724" spans="1:9" ht="12.75" customHeight="1">
      <c r="A724" s="43">
        <v>200</v>
      </c>
      <c r="B724" s="43">
        <v>3</v>
      </c>
      <c r="C724" s="43">
        <v>250</v>
      </c>
      <c r="D724" s="43">
        <v>281.25</v>
      </c>
      <c r="E724" s="43">
        <f t="shared" si="44"/>
        <v>54.289427401574109</v>
      </c>
      <c r="F724" s="43">
        <f t="shared" si="45"/>
        <v>7.62</v>
      </c>
      <c r="G724" s="43">
        <f t="shared" si="46"/>
        <v>1723.6893199999779</v>
      </c>
      <c r="H724" s="43">
        <f t="shared" si="47"/>
        <v>76.344507283463585</v>
      </c>
      <c r="I724" s="42"/>
    </row>
    <row r="725" spans="1:9" ht="12.75" customHeight="1">
      <c r="A725" s="43">
        <v>200</v>
      </c>
      <c r="B725" s="43">
        <v>3</v>
      </c>
      <c r="C725" s="43">
        <v>300</v>
      </c>
      <c r="D725" s="43">
        <v>290</v>
      </c>
      <c r="E725" s="43">
        <f t="shared" si="44"/>
        <v>54.289427401574109</v>
      </c>
      <c r="F725" s="43">
        <f t="shared" si="45"/>
        <v>7.62</v>
      </c>
      <c r="G725" s="43">
        <f t="shared" si="46"/>
        <v>2068.4271839999737</v>
      </c>
      <c r="H725" s="43">
        <f t="shared" si="47"/>
        <v>78.719669732282455</v>
      </c>
      <c r="I725" s="42"/>
    </row>
    <row r="726" spans="1:9" ht="12.75" customHeight="1">
      <c r="A726" s="43">
        <v>200</v>
      </c>
      <c r="B726" s="43">
        <v>3</v>
      </c>
      <c r="C726" s="43">
        <v>350</v>
      </c>
      <c r="D726" s="43">
        <v>297.75</v>
      </c>
      <c r="E726" s="43">
        <f t="shared" si="44"/>
        <v>54.289427401574109</v>
      </c>
      <c r="F726" s="43">
        <f t="shared" si="45"/>
        <v>7.62</v>
      </c>
      <c r="G726" s="43">
        <f t="shared" si="46"/>
        <v>2413.1650479999689</v>
      </c>
      <c r="H726" s="43">
        <f t="shared" si="47"/>
        <v>80.823385044093442</v>
      </c>
      <c r="I726" s="42"/>
    </row>
    <row r="727" spans="1:9" ht="12.75" customHeight="1">
      <c r="A727" s="43">
        <v>200</v>
      </c>
      <c r="B727" s="43">
        <v>3</v>
      </c>
      <c r="C727" s="43">
        <v>400</v>
      </c>
      <c r="D727" s="43">
        <v>305.5</v>
      </c>
      <c r="E727" s="43">
        <f t="shared" si="44"/>
        <v>54.289427401574109</v>
      </c>
      <c r="F727" s="43">
        <f t="shared" si="45"/>
        <v>7.62</v>
      </c>
      <c r="G727" s="43">
        <f t="shared" si="46"/>
        <v>2757.9029119999645</v>
      </c>
      <c r="H727" s="43">
        <f t="shared" si="47"/>
        <v>82.927100355904457</v>
      </c>
      <c r="I727" s="42"/>
    </row>
    <row r="728" spans="1:9" ht="12.75" customHeight="1">
      <c r="A728" s="43">
        <v>200</v>
      </c>
      <c r="B728" s="43">
        <v>3</v>
      </c>
      <c r="C728" s="43">
        <v>450</v>
      </c>
      <c r="D728" s="43">
        <v>313.25</v>
      </c>
      <c r="E728" s="43">
        <f t="shared" si="44"/>
        <v>54.289427401574109</v>
      </c>
      <c r="F728" s="43">
        <f t="shared" si="45"/>
        <v>7.62</v>
      </c>
      <c r="G728" s="43">
        <f t="shared" si="46"/>
        <v>3102.6407759999602</v>
      </c>
      <c r="H728" s="43">
        <f t="shared" si="47"/>
        <v>85.030815667715444</v>
      </c>
      <c r="I728" s="42"/>
    </row>
    <row r="729" spans="1:9" ht="12.75" customHeight="1">
      <c r="A729" s="43">
        <v>200</v>
      </c>
      <c r="B729" s="43">
        <v>3</v>
      </c>
      <c r="C729" s="43">
        <v>500</v>
      </c>
      <c r="D729" s="43">
        <v>321</v>
      </c>
      <c r="E729" s="43">
        <f t="shared" si="44"/>
        <v>54.289427401574109</v>
      </c>
      <c r="F729" s="43">
        <f t="shared" si="45"/>
        <v>7.62</v>
      </c>
      <c r="G729" s="43">
        <f t="shared" si="46"/>
        <v>3447.3786399999558</v>
      </c>
      <c r="H729" s="43">
        <f t="shared" si="47"/>
        <v>87.134530979526431</v>
      </c>
      <c r="I729" s="42"/>
    </row>
    <row r="730" spans="1:9" ht="12.75" customHeight="1">
      <c r="A730" s="43">
        <v>200</v>
      </c>
      <c r="B730" s="43">
        <v>3</v>
      </c>
      <c r="C730" s="43">
        <v>550</v>
      </c>
      <c r="D730" s="43">
        <v>328</v>
      </c>
      <c r="E730" s="43">
        <f t="shared" si="44"/>
        <v>54.289427401574109</v>
      </c>
      <c r="F730" s="43">
        <f t="shared" si="45"/>
        <v>7.62</v>
      </c>
      <c r="G730" s="43">
        <f t="shared" si="46"/>
        <v>3792.1165039999514</v>
      </c>
      <c r="H730" s="43">
        <f t="shared" si="47"/>
        <v>89.034660938581538</v>
      </c>
      <c r="I730" s="42"/>
    </row>
    <row r="731" spans="1:9" ht="12.75" customHeight="1">
      <c r="A731" s="43">
        <v>200</v>
      </c>
      <c r="B731" s="43">
        <v>3</v>
      </c>
      <c r="C731" s="43">
        <v>600</v>
      </c>
      <c r="D731" s="43">
        <v>335</v>
      </c>
      <c r="E731" s="43">
        <f t="shared" si="44"/>
        <v>54.289427401574109</v>
      </c>
      <c r="F731" s="43">
        <f t="shared" si="45"/>
        <v>7.62</v>
      </c>
      <c r="G731" s="43">
        <f t="shared" si="46"/>
        <v>4136.8543679999475</v>
      </c>
      <c r="H731" s="43">
        <f t="shared" si="47"/>
        <v>90.934790897636617</v>
      </c>
      <c r="I731" s="42"/>
    </row>
    <row r="732" spans="1:9" ht="12.75" customHeight="1">
      <c r="A732" s="43">
        <v>200</v>
      </c>
      <c r="B732" s="43">
        <v>3</v>
      </c>
      <c r="C732" s="43">
        <v>650</v>
      </c>
      <c r="D732" s="43">
        <v>342</v>
      </c>
      <c r="E732" s="43">
        <f t="shared" si="44"/>
        <v>54.289427401574109</v>
      </c>
      <c r="F732" s="43">
        <f t="shared" si="45"/>
        <v>7.62</v>
      </c>
      <c r="G732" s="43">
        <f t="shared" si="46"/>
        <v>4481.5922319999427</v>
      </c>
      <c r="H732" s="43">
        <f t="shared" si="47"/>
        <v>92.834920856691724</v>
      </c>
      <c r="I732" s="42"/>
    </row>
    <row r="733" spans="1:9" ht="12.75" customHeight="1">
      <c r="A733" s="43">
        <v>200</v>
      </c>
      <c r="B733" s="43">
        <v>3</v>
      </c>
      <c r="C733" s="43">
        <v>700</v>
      </c>
      <c r="D733" s="43">
        <v>349</v>
      </c>
      <c r="E733" s="43">
        <f t="shared" si="44"/>
        <v>54.289427401574109</v>
      </c>
      <c r="F733" s="43">
        <f t="shared" si="45"/>
        <v>7.62</v>
      </c>
      <c r="G733" s="43">
        <f t="shared" si="46"/>
        <v>4826.3300959999378</v>
      </c>
      <c r="H733" s="43">
        <f t="shared" si="47"/>
        <v>94.735050815746817</v>
      </c>
      <c r="I733" s="42"/>
    </row>
    <row r="734" spans="1:9" ht="12.75" customHeight="1">
      <c r="A734" s="43">
        <v>200</v>
      </c>
      <c r="B734" s="43">
        <v>3</v>
      </c>
      <c r="C734" s="43">
        <v>750</v>
      </c>
      <c r="D734" s="43">
        <v>356</v>
      </c>
      <c r="E734" s="43">
        <f t="shared" si="44"/>
        <v>54.289427401574109</v>
      </c>
      <c r="F734" s="43">
        <f t="shared" si="45"/>
        <v>7.62</v>
      </c>
      <c r="G734" s="43">
        <f t="shared" si="46"/>
        <v>5171.0679599999339</v>
      </c>
      <c r="H734" s="43">
        <f t="shared" si="47"/>
        <v>96.635180774801896</v>
      </c>
      <c r="I734" s="42"/>
    </row>
    <row r="735" spans="1:9" ht="12.75" customHeight="1">
      <c r="A735" s="43">
        <v>200</v>
      </c>
      <c r="B735" s="43">
        <v>3</v>
      </c>
      <c r="C735" s="43">
        <v>800</v>
      </c>
      <c r="D735" s="43">
        <v>363</v>
      </c>
      <c r="E735" s="43">
        <f t="shared" si="44"/>
        <v>54.289427401574109</v>
      </c>
      <c r="F735" s="43">
        <f t="shared" si="45"/>
        <v>7.62</v>
      </c>
      <c r="G735" s="43">
        <f t="shared" si="46"/>
        <v>5515.8058239999291</v>
      </c>
      <c r="H735" s="43">
        <f t="shared" si="47"/>
        <v>98.535310733857003</v>
      </c>
      <c r="I735" s="42"/>
    </row>
    <row r="736" spans="1:9" ht="12.75" customHeight="1">
      <c r="A736" s="43">
        <v>200</v>
      </c>
      <c r="B736" s="43">
        <v>3</v>
      </c>
      <c r="C736" s="43">
        <v>850</v>
      </c>
      <c r="D736" s="43">
        <v>370</v>
      </c>
      <c r="E736" s="43">
        <f t="shared" si="44"/>
        <v>54.289427401574109</v>
      </c>
      <c r="F736" s="43">
        <f t="shared" si="45"/>
        <v>7.62</v>
      </c>
      <c r="G736" s="43">
        <f t="shared" si="46"/>
        <v>5860.5436879999252</v>
      </c>
      <c r="H736" s="43">
        <f t="shared" si="47"/>
        <v>100.4354406929121</v>
      </c>
      <c r="I736" s="42"/>
    </row>
    <row r="737" spans="1:9" ht="12.75" customHeight="1">
      <c r="A737" s="43">
        <v>200</v>
      </c>
      <c r="B737" s="43">
        <v>3</v>
      </c>
      <c r="C737" s="43">
        <v>900</v>
      </c>
      <c r="D737" s="43">
        <v>377</v>
      </c>
      <c r="E737" s="43">
        <f t="shared" si="44"/>
        <v>54.289427401574109</v>
      </c>
      <c r="F737" s="43">
        <f t="shared" si="45"/>
        <v>7.62</v>
      </c>
      <c r="G737" s="43">
        <f t="shared" si="46"/>
        <v>6205.2815519999203</v>
      </c>
      <c r="H737" s="43">
        <f t="shared" si="47"/>
        <v>102.33557065196719</v>
      </c>
      <c r="I737" s="42"/>
    </row>
    <row r="738" spans="1:9" ht="12.75" customHeight="1">
      <c r="A738" s="43">
        <v>200</v>
      </c>
      <c r="B738" s="43">
        <v>3</v>
      </c>
      <c r="C738" s="43">
        <v>950</v>
      </c>
      <c r="D738" s="43">
        <v>384</v>
      </c>
      <c r="E738" s="43">
        <f t="shared" si="44"/>
        <v>54.289427401574109</v>
      </c>
      <c r="F738" s="43">
        <f t="shared" si="45"/>
        <v>7.62</v>
      </c>
      <c r="G738" s="43">
        <f t="shared" si="46"/>
        <v>6550.0194159999164</v>
      </c>
      <c r="H738" s="43">
        <f t="shared" si="47"/>
        <v>104.23570061102228</v>
      </c>
      <c r="I738" s="42"/>
    </row>
    <row r="739" spans="1:9" ht="12.75" customHeight="1">
      <c r="A739" s="43">
        <v>200</v>
      </c>
      <c r="B739" s="43">
        <v>3</v>
      </c>
      <c r="C739" s="43">
        <v>1000</v>
      </c>
      <c r="D739" s="43">
        <v>391</v>
      </c>
      <c r="E739" s="43">
        <f t="shared" si="44"/>
        <v>54.289427401574109</v>
      </c>
      <c r="F739" s="43">
        <f t="shared" si="45"/>
        <v>7.62</v>
      </c>
      <c r="G739" s="43">
        <f t="shared" si="46"/>
        <v>6894.7572799999116</v>
      </c>
      <c r="H739" s="43">
        <f t="shared" si="47"/>
        <v>106.13583057007739</v>
      </c>
      <c r="I739" s="42"/>
    </row>
    <row r="740" spans="1:9" ht="12.75" customHeight="1">
      <c r="A740" s="43">
        <v>200</v>
      </c>
      <c r="B740" s="43">
        <v>3</v>
      </c>
      <c r="C740" s="43">
        <v>1100</v>
      </c>
      <c r="D740" s="43">
        <v>402.9</v>
      </c>
      <c r="E740" s="43">
        <f t="shared" si="44"/>
        <v>54.289427401574109</v>
      </c>
      <c r="F740" s="43">
        <f t="shared" si="45"/>
        <v>7.62</v>
      </c>
      <c r="G740" s="43">
        <f t="shared" si="46"/>
        <v>7584.2330079999028</v>
      </c>
      <c r="H740" s="43">
        <f t="shared" si="47"/>
        <v>109.36605150047103</v>
      </c>
      <c r="I740" s="42"/>
    </row>
    <row r="741" spans="1:9" ht="12.75" customHeight="1">
      <c r="A741" s="43">
        <v>200</v>
      </c>
      <c r="B741" s="43">
        <v>3</v>
      </c>
      <c r="C741" s="43">
        <v>1200</v>
      </c>
      <c r="D741" s="43">
        <v>414.79999999999995</v>
      </c>
      <c r="E741" s="43">
        <f t="shared" si="44"/>
        <v>54.289427401574109</v>
      </c>
      <c r="F741" s="43">
        <f t="shared" si="45"/>
        <v>7.62</v>
      </c>
      <c r="G741" s="43">
        <f t="shared" si="46"/>
        <v>8273.708735999895</v>
      </c>
      <c r="H741" s="43">
        <f t="shared" si="47"/>
        <v>112.59627243086469</v>
      </c>
      <c r="I741" s="42"/>
    </row>
    <row r="742" spans="1:9" ht="12.75" customHeight="1">
      <c r="A742" s="43">
        <v>200</v>
      </c>
      <c r="B742" s="43">
        <v>3</v>
      </c>
      <c r="C742" s="43">
        <v>1300</v>
      </c>
      <c r="D742" s="43">
        <v>426.69999999999993</v>
      </c>
      <c r="E742" s="43">
        <f t="shared" si="44"/>
        <v>54.289427401574109</v>
      </c>
      <c r="F742" s="43">
        <f t="shared" si="45"/>
        <v>7.62</v>
      </c>
      <c r="G742" s="43">
        <f t="shared" si="46"/>
        <v>8963.1844639998853</v>
      </c>
      <c r="H742" s="43">
        <f t="shared" si="47"/>
        <v>115.82649336125834</v>
      </c>
      <c r="I742" s="42"/>
    </row>
    <row r="743" spans="1:9" ht="12.75" customHeight="1">
      <c r="A743" s="43">
        <v>200</v>
      </c>
      <c r="B743" s="43">
        <v>3</v>
      </c>
      <c r="C743" s="43">
        <v>1400</v>
      </c>
      <c r="D743" s="43">
        <v>438.59999999999991</v>
      </c>
      <c r="E743" s="43">
        <f t="shared" si="44"/>
        <v>54.289427401574109</v>
      </c>
      <c r="F743" s="43">
        <f t="shared" si="45"/>
        <v>7.62</v>
      </c>
      <c r="G743" s="43">
        <f t="shared" si="46"/>
        <v>9652.6601919998757</v>
      </c>
      <c r="H743" s="43">
        <f t="shared" si="47"/>
        <v>119.05671429165199</v>
      </c>
      <c r="I743" s="42"/>
    </row>
    <row r="744" spans="1:9" ht="12.75" customHeight="1">
      <c r="A744" s="43">
        <v>200</v>
      </c>
      <c r="B744" s="43">
        <v>3</v>
      </c>
      <c r="C744" s="43">
        <v>1500</v>
      </c>
      <c r="D744" s="43">
        <v>450.49999999999989</v>
      </c>
      <c r="E744" s="43">
        <f t="shared" si="44"/>
        <v>54.289427401574109</v>
      </c>
      <c r="F744" s="43">
        <f t="shared" si="45"/>
        <v>7.62</v>
      </c>
      <c r="G744" s="43">
        <f t="shared" si="46"/>
        <v>10342.135919999868</v>
      </c>
      <c r="H744" s="43">
        <f t="shared" si="47"/>
        <v>122.28693522204564</v>
      </c>
      <c r="I744" s="42"/>
    </row>
    <row r="745" spans="1:9" ht="12.75" customHeight="1">
      <c r="A745" s="43">
        <v>200</v>
      </c>
      <c r="B745" s="43">
        <v>3</v>
      </c>
      <c r="C745" s="43">
        <v>1600</v>
      </c>
      <c r="D745" s="43">
        <v>462.39999999999986</v>
      </c>
      <c r="E745" s="43">
        <f t="shared" si="44"/>
        <v>54.289427401574109</v>
      </c>
      <c r="F745" s="43">
        <f t="shared" si="45"/>
        <v>7.62</v>
      </c>
      <c r="G745" s="43">
        <f t="shared" si="46"/>
        <v>11031.611647999858</v>
      </c>
      <c r="H745" s="43">
        <f t="shared" si="47"/>
        <v>125.51715615243928</v>
      </c>
      <c r="I745" s="42"/>
    </row>
    <row r="746" spans="1:9" ht="12.75" customHeight="1">
      <c r="A746" s="43">
        <v>200</v>
      </c>
      <c r="B746" s="43">
        <v>3</v>
      </c>
      <c r="C746" s="43">
        <v>1700</v>
      </c>
      <c r="D746" s="43">
        <v>474.29999999999984</v>
      </c>
      <c r="E746" s="43">
        <f t="shared" si="44"/>
        <v>54.289427401574109</v>
      </c>
      <c r="F746" s="43">
        <f t="shared" si="45"/>
        <v>7.62</v>
      </c>
      <c r="G746" s="43">
        <f t="shared" si="46"/>
        <v>11721.08737599985</v>
      </c>
      <c r="H746" s="43">
        <f t="shared" si="47"/>
        <v>128.74737708283294</v>
      </c>
      <c r="I746" s="42"/>
    </row>
    <row r="747" spans="1:9" ht="12.75" customHeight="1">
      <c r="A747" s="43">
        <v>200</v>
      </c>
      <c r="B747" s="43">
        <v>3</v>
      </c>
      <c r="C747" s="43">
        <v>1800</v>
      </c>
      <c r="D747" s="43">
        <v>486.19999999999982</v>
      </c>
      <c r="E747" s="43">
        <f t="shared" si="44"/>
        <v>54.289427401574109</v>
      </c>
      <c r="F747" s="43">
        <f t="shared" si="45"/>
        <v>7.62</v>
      </c>
      <c r="G747" s="43">
        <f t="shared" si="46"/>
        <v>12410.563103999841</v>
      </c>
      <c r="H747" s="43">
        <f t="shared" si="47"/>
        <v>131.97759801322661</v>
      </c>
      <c r="I747" s="42"/>
    </row>
    <row r="748" spans="1:9" ht="12.75" customHeight="1">
      <c r="A748" s="43">
        <v>200</v>
      </c>
      <c r="B748" s="43">
        <v>3</v>
      </c>
      <c r="C748" s="43">
        <v>1900</v>
      </c>
      <c r="D748" s="43">
        <v>498.0999999999998</v>
      </c>
      <c r="E748" s="43">
        <f t="shared" si="44"/>
        <v>54.289427401574109</v>
      </c>
      <c r="F748" s="43">
        <f t="shared" si="45"/>
        <v>7.62</v>
      </c>
      <c r="G748" s="43">
        <f t="shared" si="46"/>
        <v>13100.038831999833</v>
      </c>
      <c r="H748" s="43">
        <f t="shared" si="47"/>
        <v>135.20781894362025</v>
      </c>
      <c r="I748" s="42"/>
    </row>
    <row r="749" spans="1:9" ht="12.75" customHeight="1">
      <c r="A749" s="43">
        <v>200</v>
      </c>
      <c r="B749" s="43">
        <v>3</v>
      </c>
      <c r="C749" s="43">
        <v>2000</v>
      </c>
      <c r="D749" s="43">
        <v>510</v>
      </c>
      <c r="E749" s="43">
        <f t="shared" si="44"/>
        <v>54.289427401574109</v>
      </c>
      <c r="F749" s="43">
        <f t="shared" si="45"/>
        <v>7.62</v>
      </c>
      <c r="G749" s="43">
        <f t="shared" si="46"/>
        <v>13789.514559999823</v>
      </c>
      <c r="H749" s="43">
        <f t="shared" si="47"/>
        <v>138.43803987401398</v>
      </c>
      <c r="I749" s="42"/>
    </row>
    <row r="750" spans="1:9" ht="12.75" customHeight="1">
      <c r="A750" s="43">
        <v>200</v>
      </c>
      <c r="B750" s="43">
        <v>4</v>
      </c>
      <c r="C750" s="43">
        <v>50</v>
      </c>
      <c r="D750" s="43">
        <v>253</v>
      </c>
      <c r="E750" s="43">
        <f t="shared" si="44"/>
        <v>54.289427401574109</v>
      </c>
      <c r="F750" s="43">
        <f t="shared" si="45"/>
        <v>10.16</v>
      </c>
      <c r="G750" s="43">
        <f t="shared" si="46"/>
        <v>344.73786399999557</v>
      </c>
      <c r="H750" s="43">
        <f t="shared" si="47"/>
        <v>68.67612566299124</v>
      </c>
      <c r="I750" s="42"/>
    </row>
    <row r="751" spans="1:9" ht="12.75" customHeight="1">
      <c r="A751" s="43">
        <v>200</v>
      </c>
      <c r="B751" s="43">
        <v>4</v>
      </c>
      <c r="C751" s="43">
        <v>60</v>
      </c>
      <c r="D751" s="43">
        <v>257.2</v>
      </c>
      <c r="E751" s="43">
        <f t="shared" si="44"/>
        <v>54.289427401574109</v>
      </c>
      <c r="F751" s="43">
        <f t="shared" si="45"/>
        <v>10.16</v>
      </c>
      <c r="G751" s="43">
        <f t="shared" si="46"/>
        <v>413.6854367999947</v>
      </c>
      <c r="H751" s="43">
        <f t="shared" si="47"/>
        <v>69.816203638424298</v>
      </c>
      <c r="I751" s="42"/>
    </row>
    <row r="752" spans="1:9" ht="12.75" customHeight="1">
      <c r="A752" s="43">
        <v>200</v>
      </c>
      <c r="B752" s="43">
        <v>4</v>
      </c>
      <c r="C752" s="43">
        <v>70</v>
      </c>
      <c r="D752" s="43">
        <v>261.39999999999998</v>
      </c>
      <c r="E752" s="43">
        <f t="shared" si="44"/>
        <v>54.289427401574109</v>
      </c>
      <c r="F752" s="43">
        <f t="shared" si="45"/>
        <v>10.16</v>
      </c>
      <c r="G752" s="43">
        <f t="shared" si="46"/>
        <v>482.63300959999384</v>
      </c>
      <c r="H752" s="43">
        <f t="shared" si="47"/>
        <v>70.956281613857357</v>
      </c>
      <c r="I752" s="42"/>
    </row>
    <row r="753" spans="1:9" ht="12.75" customHeight="1">
      <c r="A753" s="43">
        <v>200</v>
      </c>
      <c r="B753" s="43">
        <v>4</v>
      </c>
      <c r="C753" s="43">
        <v>80</v>
      </c>
      <c r="D753" s="43">
        <v>265.59999999999997</v>
      </c>
      <c r="E753" s="43">
        <f t="shared" si="44"/>
        <v>54.289427401574109</v>
      </c>
      <c r="F753" s="43">
        <f t="shared" si="45"/>
        <v>10.16</v>
      </c>
      <c r="G753" s="43">
        <f t="shared" si="46"/>
        <v>551.58058239999298</v>
      </c>
      <c r="H753" s="43">
        <f t="shared" si="47"/>
        <v>72.096359589290401</v>
      </c>
      <c r="I753" s="42"/>
    </row>
    <row r="754" spans="1:9" ht="12.75" customHeight="1">
      <c r="A754" s="43">
        <v>200</v>
      </c>
      <c r="B754" s="43">
        <v>4</v>
      </c>
      <c r="C754" s="43">
        <v>90</v>
      </c>
      <c r="D754" s="43">
        <v>269.79999999999995</v>
      </c>
      <c r="E754" s="43">
        <f t="shared" si="44"/>
        <v>54.289427401574109</v>
      </c>
      <c r="F754" s="43">
        <f t="shared" si="45"/>
        <v>10.16</v>
      </c>
      <c r="G754" s="43">
        <f t="shared" si="46"/>
        <v>620.52815519999206</v>
      </c>
      <c r="H754" s="43">
        <f t="shared" si="47"/>
        <v>73.23643756472346</v>
      </c>
      <c r="I754" s="42"/>
    </row>
    <row r="755" spans="1:9" ht="12.75" customHeight="1">
      <c r="A755" s="43">
        <v>200</v>
      </c>
      <c r="B755" s="43">
        <v>4</v>
      </c>
      <c r="C755" s="43">
        <v>100</v>
      </c>
      <c r="D755" s="43">
        <v>274</v>
      </c>
      <c r="E755" s="43">
        <f t="shared" si="44"/>
        <v>54.289427401574109</v>
      </c>
      <c r="F755" s="43">
        <f t="shared" si="45"/>
        <v>10.16</v>
      </c>
      <c r="G755" s="43">
        <f t="shared" si="46"/>
        <v>689.47572799999114</v>
      </c>
      <c r="H755" s="43">
        <f t="shared" si="47"/>
        <v>74.376515540156518</v>
      </c>
      <c r="I755" s="42"/>
    </row>
    <row r="756" spans="1:9" ht="12.75" customHeight="1">
      <c r="A756" s="43">
        <v>200</v>
      </c>
      <c r="B756" s="43">
        <v>4</v>
      </c>
      <c r="C756" s="43">
        <v>150</v>
      </c>
      <c r="D756" s="43">
        <v>289.75</v>
      </c>
      <c r="E756" s="43">
        <f t="shared" si="44"/>
        <v>54.289427401574109</v>
      </c>
      <c r="F756" s="43">
        <f t="shared" si="45"/>
        <v>10.16</v>
      </c>
      <c r="G756" s="43">
        <f t="shared" si="46"/>
        <v>1034.2135919999869</v>
      </c>
      <c r="H756" s="43">
        <f t="shared" si="47"/>
        <v>78.651807948030481</v>
      </c>
      <c r="I756" s="42"/>
    </row>
    <row r="757" spans="1:9" ht="12.75" customHeight="1">
      <c r="A757" s="43">
        <v>200</v>
      </c>
      <c r="B757" s="43">
        <v>4</v>
      </c>
      <c r="C757" s="43">
        <v>200</v>
      </c>
      <c r="D757" s="43">
        <v>305.5</v>
      </c>
      <c r="E757" s="43">
        <f t="shared" si="44"/>
        <v>54.289427401574109</v>
      </c>
      <c r="F757" s="43">
        <f t="shared" si="45"/>
        <v>10.16</v>
      </c>
      <c r="G757" s="43">
        <f t="shared" si="46"/>
        <v>1378.9514559999823</v>
      </c>
      <c r="H757" s="43">
        <f t="shared" si="47"/>
        <v>82.927100355904457</v>
      </c>
      <c r="I757" s="42"/>
    </row>
    <row r="758" spans="1:9" ht="12.75" customHeight="1">
      <c r="A758" s="43">
        <v>200</v>
      </c>
      <c r="B758" s="43">
        <v>4</v>
      </c>
      <c r="C758" s="43">
        <v>250</v>
      </c>
      <c r="D758" s="43">
        <v>321.25</v>
      </c>
      <c r="E758" s="43">
        <f t="shared" si="44"/>
        <v>54.289427401574109</v>
      </c>
      <c r="F758" s="43">
        <f t="shared" si="45"/>
        <v>10.16</v>
      </c>
      <c r="G758" s="43">
        <f t="shared" si="46"/>
        <v>1723.6893199999779</v>
      </c>
      <c r="H758" s="43">
        <f t="shared" si="47"/>
        <v>87.202392763778406</v>
      </c>
      <c r="I758" s="42"/>
    </row>
    <row r="759" spans="1:9" ht="12.75" customHeight="1">
      <c r="A759" s="43">
        <v>200</v>
      </c>
      <c r="B759" s="43">
        <v>4</v>
      </c>
      <c r="C759" s="43">
        <v>300</v>
      </c>
      <c r="D759" s="43">
        <v>337</v>
      </c>
      <c r="E759" s="43">
        <f t="shared" si="44"/>
        <v>54.289427401574109</v>
      </c>
      <c r="F759" s="43">
        <f t="shared" si="45"/>
        <v>10.16</v>
      </c>
      <c r="G759" s="43">
        <f t="shared" si="46"/>
        <v>2068.4271839999737</v>
      </c>
      <c r="H759" s="43">
        <f t="shared" si="47"/>
        <v>91.477685171652368</v>
      </c>
      <c r="I759" s="42"/>
    </row>
    <row r="760" spans="1:9" ht="12.75" customHeight="1">
      <c r="A760" s="43">
        <v>200</v>
      </c>
      <c r="B760" s="43">
        <v>4</v>
      </c>
      <c r="C760" s="43">
        <v>350</v>
      </c>
      <c r="D760" s="43">
        <v>351</v>
      </c>
      <c r="E760" s="43">
        <f t="shared" si="44"/>
        <v>54.289427401574109</v>
      </c>
      <c r="F760" s="43">
        <f t="shared" si="45"/>
        <v>10.16</v>
      </c>
      <c r="G760" s="43">
        <f t="shared" si="46"/>
        <v>2413.1650479999689</v>
      </c>
      <c r="H760" s="43">
        <f t="shared" si="47"/>
        <v>95.277945089762554</v>
      </c>
      <c r="I760" s="42"/>
    </row>
    <row r="761" spans="1:9" ht="12.75" customHeight="1">
      <c r="A761" s="43">
        <v>200</v>
      </c>
      <c r="B761" s="43">
        <v>4</v>
      </c>
      <c r="C761" s="43">
        <v>400</v>
      </c>
      <c r="D761" s="43">
        <v>365</v>
      </c>
      <c r="E761" s="43">
        <f t="shared" si="44"/>
        <v>54.289427401574109</v>
      </c>
      <c r="F761" s="43">
        <f t="shared" si="45"/>
        <v>10.16</v>
      </c>
      <c r="G761" s="43">
        <f t="shared" si="46"/>
        <v>2757.9029119999645</v>
      </c>
      <c r="H761" s="43">
        <f t="shared" si="47"/>
        <v>99.078205007872754</v>
      </c>
      <c r="I761" s="42"/>
    </row>
    <row r="762" spans="1:9" ht="12.75" customHeight="1">
      <c r="A762" s="43">
        <v>200</v>
      </c>
      <c r="B762" s="43">
        <v>4</v>
      </c>
      <c r="C762" s="43">
        <v>450</v>
      </c>
      <c r="D762" s="43">
        <v>379</v>
      </c>
      <c r="E762" s="43">
        <f t="shared" si="44"/>
        <v>54.289427401574109</v>
      </c>
      <c r="F762" s="43">
        <f t="shared" si="45"/>
        <v>10.16</v>
      </c>
      <c r="G762" s="43">
        <f t="shared" si="46"/>
        <v>3102.6407759999602</v>
      </c>
      <c r="H762" s="43">
        <f t="shared" si="47"/>
        <v>102.87846492598293</v>
      </c>
      <c r="I762" s="42"/>
    </row>
    <row r="763" spans="1:9" ht="12.75" customHeight="1">
      <c r="A763" s="43">
        <v>200</v>
      </c>
      <c r="B763" s="43">
        <v>4</v>
      </c>
      <c r="C763" s="43">
        <v>500</v>
      </c>
      <c r="D763" s="43">
        <v>393</v>
      </c>
      <c r="E763" s="43">
        <f t="shared" si="44"/>
        <v>54.289427401574109</v>
      </c>
      <c r="F763" s="43">
        <f t="shared" si="45"/>
        <v>10.16</v>
      </c>
      <c r="G763" s="43">
        <f t="shared" si="46"/>
        <v>3447.3786399999558</v>
      </c>
      <c r="H763" s="43">
        <f t="shared" si="47"/>
        <v>106.67872484409311</v>
      </c>
      <c r="I763" s="42"/>
    </row>
    <row r="764" spans="1:9" ht="12.75" customHeight="1">
      <c r="A764" s="43">
        <v>200</v>
      </c>
      <c r="B764" s="43">
        <v>4</v>
      </c>
      <c r="C764" s="43">
        <v>550</v>
      </c>
      <c r="D764" s="43">
        <v>405.6</v>
      </c>
      <c r="E764" s="43">
        <f t="shared" si="44"/>
        <v>54.289427401574109</v>
      </c>
      <c r="F764" s="43">
        <f t="shared" si="45"/>
        <v>10.16</v>
      </c>
      <c r="G764" s="43">
        <f t="shared" si="46"/>
        <v>3792.1165039999514</v>
      </c>
      <c r="H764" s="43">
        <f t="shared" si="47"/>
        <v>110.0989587703923</v>
      </c>
      <c r="I764" s="42"/>
    </row>
    <row r="765" spans="1:9" ht="12.75" customHeight="1">
      <c r="A765" s="43">
        <v>200</v>
      </c>
      <c r="B765" s="43">
        <v>4</v>
      </c>
      <c r="C765" s="43">
        <v>600</v>
      </c>
      <c r="D765" s="43">
        <v>418.20000000000005</v>
      </c>
      <c r="E765" s="43">
        <f t="shared" si="44"/>
        <v>54.289427401574109</v>
      </c>
      <c r="F765" s="43">
        <f t="shared" si="45"/>
        <v>10.16</v>
      </c>
      <c r="G765" s="43">
        <f t="shared" si="46"/>
        <v>4136.8543679999475</v>
      </c>
      <c r="H765" s="43">
        <f t="shared" si="47"/>
        <v>113.51919269669148</v>
      </c>
      <c r="I765" s="42"/>
    </row>
    <row r="766" spans="1:9" ht="12.75" customHeight="1">
      <c r="A766" s="43">
        <v>200</v>
      </c>
      <c r="B766" s="43">
        <v>4</v>
      </c>
      <c r="C766" s="43">
        <v>650</v>
      </c>
      <c r="D766" s="43">
        <v>430.80000000000007</v>
      </c>
      <c r="E766" s="43">
        <f t="shared" si="44"/>
        <v>54.289427401574109</v>
      </c>
      <c r="F766" s="43">
        <f t="shared" si="45"/>
        <v>10.16</v>
      </c>
      <c r="G766" s="43">
        <f t="shared" si="46"/>
        <v>4481.5922319999427</v>
      </c>
      <c r="H766" s="43">
        <f t="shared" si="47"/>
        <v>116.93942662299064</v>
      </c>
      <c r="I766" s="42"/>
    </row>
    <row r="767" spans="1:9" ht="12.75" customHeight="1">
      <c r="A767" s="43">
        <v>200</v>
      </c>
      <c r="B767" s="43">
        <v>4</v>
      </c>
      <c r="C767" s="43">
        <v>700</v>
      </c>
      <c r="D767" s="43">
        <v>443.40000000000009</v>
      </c>
      <c r="E767" s="43">
        <f t="shared" si="44"/>
        <v>54.289427401574109</v>
      </c>
      <c r="F767" s="43">
        <f t="shared" si="45"/>
        <v>10.16</v>
      </c>
      <c r="G767" s="43">
        <f t="shared" si="46"/>
        <v>4826.3300959999378</v>
      </c>
      <c r="H767" s="43">
        <f t="shared" si="47"/>
        <v>120.35966054928983</v>
      </c>
      <c r="I767" s="42"/>
    </row>
    <row r="768" spans="1:9" ht="12.75" customHeight="1">
      <c r="A768" s="43">
        <v>200</v>
      </c>
      <c r="B768" s="43">
        <v>4</v>
      </c>
      <c r="C768" s="43">
        <v>750</v>
      </c>
      <c r="D768" s="43">
        <v>456.00000000000011</v>
      </c>
      <c r="E768" s="43">
        <f t="shared" si="44"/>
        <v>54.289427401574109</v>
      </c>
      <c r="F768" s="43">
        <f t="shared" si="45"/>
        <v>10.16</v>
      </c>
      <c r="G768" s="43">
        <f t="shared" si="46"/>
        <v>5171.0679599999339</v>
      </c>
      <c r="H768" s="43">
        <f t="shared" si="47"/>
        <v>123.77989447558899</v>
      </c>
      <c r="I768" s="42"/>
    </row>
    <row r="769" spans="1:9" ht="12.75" customHeight="1">
      <c r="A769" s="43">
        <v>200</v>
      </c>
      <c r="B769" s="43">
        <v>4</v>
      </c>
      <c r="C769" s="43">
        <v>800</v>
      </c>
      <c r="D769" s="43">
        <v>468.60000000000014</v>
      </c>
      <c r="E769" s="43">
        <f t="shared" si="44"/>
        <v>54.289427401574109</v>
      </c>
      <c r="F769" s="43">
        <f t="shared" si="45"/>
        <v>10.16</v>
      </c>
      <c r="G769" s="43">
        <f t="shared" si="46"/>
        <v>5515.8058239999291</v>
      </c>
      <c r="H769" s="43">
        <f t="shared" si="47"/>
        <v>127.20012840188816</v>
      </c>
      <c r="I769" s="42"/>
    </row>
    <row r="770" spans="1:9" ht="12.75" customHeight="1">
      <c r="A770" s="43">
        <v>200</v>
      </c>
      <c r="B770" s="43">
        <v>4</v>
      </c>
      <c r="C770" s="43">
        <v>850</v>
      </c>
      <c r="D770" s="43">
        <v>481.20000000000016</v>
      </c>
      <c r="E770" s="43">
        <f t="shared" si="44"/>
        <v>54.289427401574109</v>
      </c>
      <c r="F770" s="43">
        <f t="shared" si="45"/>
        <v>10.16</v>
      </c>
      <c r="G770" s="43">
        <f t="shared" si="46"/>
        <v>5860.5436879999252</v>
      </c>
      <c r="H770" s="43">
        <f t="shared" si="47"/>
        <v>130.62036232818735</v>
      </c>
      <c r="I770" s="42"/>
    </row>
    <row r="771" spans="1:9" ht="12.75" customHeight="1">
      <c r="A771" s="43">
        <v>200</v>
      </c>
      <c r="B771" s="43">
        <v>4</v>
      </c>
      <c r="C771" s="43">
        <v>900</v>
      </c>
      <c r="D771" s="43">
        <v>493.80000000000018</v>
      </c>
      <c r="E771" s="43">
        <f t="shared" ref="E771:E834" si="48">A771/145.03773800722/0.0254</f>
        <v>54.289427401574109</v>
      </c>
      <c r="F771" s="43">
        <f t="shared" ref="F771:F834" si="49">B771*2.54</f>
        <v>10.16</v>
      </c>
      <c r="G771" s="43">
        <f t="shared" ref="G771:G834" si="50">C771/0.14503773800722</f>
        <v>6205.2815519999203</v>
      </c>
      <c r="H771" s="43">
        <f t="shared" ref="H771:H834" si="51">D771/145.03773800722/0.0254</f>
        <v>134.04059625448653</v>
      </c>
      <c r="I771" s="42"/>
    </row>
    <row r="772" spans="1:9" ht="12.75" customHeight="1">
      <c r="A772" s="43">
        <v>200</v>
      </c>
      <c r="B772" s="43">
        <v>4</v>
      </c>
      <c r="C772" s="43">
        <v>950</v>
      </c>
      <c r="D772" s="43">
        <v>506.4000000000002</v>
      </c>
      <c r="E772" s="43">
        <f t="shared" si="48"/>
        <v>54.289427401574109</v>
      </c>
      <c r="F772" s="43">
        <f t="shared" si="49"/>
        <v>10.16</v>
      </c>
      <c r="G772" s="43">
        <f t="shared" si="50"/>
        <v>6550.0194159999164</v>
      </c>
      <c r="H772" s="43">
        <f t="shared" si="51"/>
        <v>137.46083018078568</v>
      </c>
      <c r="I772" s="42"/>
    </row>
    <row r="773" spans="1:9" ht="12.75" customHeight="1">
      <c r="A773" s="43">
        <v>200</v>
      </c>
      <c r="B773" s="43">
        <v>4</v>
      </c>
      <c r="C773" s="43">
        <v>1000</v>
      </c>
      <c r="D773" s="43">
        <v>519</v>
      </c>
      <c r="E773" s="43">
        <f t="shared" si="48"/>
        <v>54.289427401574109</v>
      </c>
      <c r="F773" s="43">
        <f t="shared" si="49"/>
        <v>10.16</v>
      </c>
      <c r="G773" s="43">
        <f t="shared" si="50"/>
        <v>6894.7572799999116</v>
      </c>
      <c r="H773" s="43">
        <f t="shared" si="51"/>
        <v>140.8810641070848</v>
      </c>
      <c r="I773" s="42"/>
    </row>
    <row r="774" spans="1:9" ht="12.75" customHeight="1">
      <c r="A774" s="43">
        <v>200</v>
      </c>
      <c r="B774" s="43">
        <v>4</v>
      </c>
      <c r="C774" s="43">
        <v>1100</v>
      </c>
      <c r="D774" s="43">
        <v>541.29999999999995</v>
      </c>
      <c r="E774" s="43">
        <f t="shared" si="48"/>
        <v>54.289427401574109</v>
      </c>
      <c r="F774" s="43">
        <f t="shared" si="49"/>
        <v>10.16</v>
      </c>
      <c r="G774" s="43">
        <f t="shared" si="50"/>
        <v>7584.2330079999028</v>
      </c>
      <c r="H774" s="43">
        <f t="shared" si="51"/>
        <v>146.93433526236032</v>
      </c>
      <c r="I774" s="42"/>
    </row>
    <row r="775" spans="1:9" ht="12.75" customHeight="1">
      <c r="A775" s="43">
        <v>200</v>
      </c>
      <c r="B775" s="43">
        <v>4</v>
      </c>
      <c r="C775" s="43">
        <v>1200</v>
      </c>
      <c r="D775" s="43">
        <v>563.59999999999991</v>
      </c>
      <c r="E775" s="43">
        <f t="shared" si="48"/>
        <v>54.289427401574109</v>
      </c>
      <c r="F775" s="43">
        <f t="shared" si="49"/>
        <v>10.16</v>
      </c>
      <c r="G775" s="43">
        <f t="shared" si="50"/>
        <v>8273.708735999895</v>
      </c>
      <c r="H775" s="43">
        <f t="shared" si="51"/>
        <v>152.98760641763579</v>
      </c>
      <c r="I775" s="42"/>
    </row>
    <row r="776" spans="1:9" ht="12.75" customHeight="1">
      <c r="A776" s="43">
        <v>200</v>
      </c>
      <c r="B776" s="43">
        <v>4</v>
      </c>
      <c r="C776" s="43">
        <v>1300</v>
      </c>
      <c r="D776" s="43">
        <v>585.89999999999986</v>
      </c>
      <c r="E776" s="43">
        <f t="shared" si="48"/>
        <v>54.289427401574109</v>
      </c>
      <c r="F776" s="43">
        <f t="shared" si="49"/>
        <v>10.16</v>
      </c>
      <c r="G776" s="43">
        <f t="shared" si="50"/>
        <v>8963.1844639998853</v>
      </c>
      <c r="H776" s="43">
        <f t="shared" si="51"/>
        <v>159.04087757291131</v>
      </c>
      <c r="I776" s="42"/>
    </row>
    <row r="777" spans="1:9" ht="12.75" customHeight="1">
      <c r="A777" s="43">
        <v>200</v>
      </c>
      <c r="B777" s="43">
        <v>4</v>
      </c>
      <c r="C777" s="43">
        <v>1400</v>
      </c>
      <c r="D777" s="43">
        <v>608.19999999999982</v>
      </c>
      <c r="E777" s="43">
        <f t="shared" si="48"/>
        <v>54.289427401574109</v>
      </c>
      <c r="F777" s="43">
        <f t="shared" si="49"/>
        <v>10.16</v>
      </c>
      <c r="G777" s="43">
        <f t="shared" si="50"/>
        <v>9652.6601919998757</v>
      </c>
      <c r="H777" s="43">
        <f t="shared" si="51"/>
        <v>165.09414872818681</v>
      </c>
      <c r="I777" s="42"/>
    </row>
    <row r="778" spans="1:9" ht="12.75" customHeight="1">
      <c r="A778" s="43">
        <v>200</v>
      </c>
      <c r="B778" s="43">
        <v>4</v>
      </c>
      <c r="C778" s="43">
        <v>1500</v>
      </c>
      <c r="D778" s="43">
        <v>630.49999999999977</v>
      </c>
      <c r="E778" s="43">
        <f t="shared" si="48"/>
        <v>54.289427401574109</v>
      </c>
      <c r="F778" s="43">
        <f t="shared" si="49"/>
        <v>10.16</v>
      </c>
      <c r="G778" s="43">
        <f t="shared" si="50"/>
        <v>10342.135919999868</v>
      </c>
      <c r="H778" s="43">
        <f t="shared" si="51"/>
        <v>171.14741988346231</v>
      </c>
      <c r="I778" s="42"/>
    </row>
    <row r="779" spans="1:9" ht="12.75" customHeight="1">
      <c r="A779" s="43">
        <v>200</v>
      </c>
      <c r="B779" s="43">
        <v>4</v>
      </c>
      <c r="C779" s="43">
        <v>1600</v>
      </c>
      <c r="D779" s="43">
        <v>652.79999999999973</v>
      </c>
      <c r="E779" s="43">
        <f t="shared" si="48"/>
        <v>54.289427401574109</v>
      </c>
      <c r="F779" s="43">
        <f t="shared" si="49"/>
        <v>10.16</v>
      </c>
      <c r="G779" s="43">
        <f t="shared" si="50"/>
        <v>11031.611647999858</v>
      </c>
      <c r="H779" s="43">
        <f t="shared" si="51"/>
        <v>177.20069103873783</v>
      </c>
      <c r="I779" s="42"/>
    </row>
    <row r="780" spans="1:9" ht="12.75" customHeight="1">
      <c r="A780" s="43">
        <v>200</v>
      </c>
      <c r="B780" s="43">
        <v>4</v>
      </c>
      <c r="C780" s="43">
        <v>1700</v>
      </c>
      <c r="D780" s="43">
        <v>675.09999999999968</v>
      </c>
      <c r="E780" s="43">
        <f t="shared" si="48"/>
        <v>54.289427401574109</v>
      </c>
      <c r="F780" s="43">
        <f t="shared" si="49"/>
        <v>10.16</v>
      </c>
      <c r="G780" s="43">
        <f t="shared" si="50"/>
        <v>11721.08737599985</v>
      </c>
      <c r="H780" s="43">
        <f t="shared" si="51"/>
        <v>183.2539621940133</v>
      </c>
      <c r="I780" s="42"/>
    </row>
    <row r="781" spans="1:9" ht="12.75" customHeight="1">
      <c r="A781" s="43">
        <v>200</v>
      </c>
      <c r="B781" s="43">
        <v>4</v>
      </c>
      <c r="C781" s="43">
        <v>1800</v>
      </c>
      <c r="D781" s="43">
        <v>697.39999999999964</v>
      </c>
      <c r="E781" s="43">
        <f t="shared" si="48"/>
        <v>54.289427401574109</v>
      </c>
      <c r="F781" s="43">
        <f t="shared" si="49"/>
        <v>10.16</v>
      </c>
      <c r="G781" s="43">
        <f t="shared" si="50"/>
        <v>12410.563103999841</v>
      </c>
      <c r="H781" s="43">
        <f t="shared" si="51"/>
        <v>189.30723334928879</v>
      </c>
      <c r="I781" s="42"/>
    </row>
    <row r="782" spans="1:9" ht="12.75" customHeight="1">
      <c r="A782" s="43">
        <v>200</v>
      </c>
      <c r="B782" s="43">
        <v>4</v>
      </c>
      <c r="C782" s="43">
        <v>1900</v>
      </c>
      <c r="D782" s="43">
        <v>719.69999999999959</v>
      </c>
      <c r="E782" s="43">
        <f t="shared" si="48"/>
        <v>54.289427401574109</v>
      </c>
      <c r="F782" s="43">
        <f t="shared" si="49"/>
        <v>10.16</v>
      </c>
      <c r="G782" s="43">
        <f t="shared" si="50"/>
        <v>13100.038831999833</v>
      </c>
      <c r="H782" s="43">
        <f t="shared" si="51"/>
        <v>195.36050450456432</v>
      </c>
      <c r="I782" s="42"/>
    </row>
    <row r="783" spans="1:9" ht="12.75" customHeight="1">
      <c r="A783" s="43">
        <v>200</v>
      </c>
      <c r="B783" s="43">
        <v>4</v>
      </c>
      <c r="C783" s="43">
        <v>2000</v>
      </c>
      <c r="D783" s="43">
        <v>742</v>
      </c>
      <c r="E783" s="43">
        <f t="shared" si="48"/>
        <v>54.289427401574109</v>
      </c>
      <c r="F783" s="43">
        <f t="shared" si="49"/>
        <v>10.16</v>
      </c>
      <c r="G783" s="43">
        <f t="shared" si="50"/>
        <v>13789.514559999823</v>
      </c>
      <c r="H783" s="43">
        <f t="shared" si="51"/>
        <v>201.41377565983993</v>
      </c>
      <c r="I783" s="42"/>
    </row>
    <row r="784" spans="1:9" ht="12.75" customHeight="1">
      <c r="A784" s="43">
        <v>200</v>
      </c>
      <c r="B784" s="43">
        <v>5</v>
      </c>
      <c r="C784" s="43">
        <v>50</v>
      </c>
      <c r="D784" s="43">
        <v>267</v>
      </c>
      <c r="E784" s="43">
        <f t="shared" si="48"/>
        <v>54.289427401574109</v>
      </c>
      <c r="F784" s="43">
        <f t="shared" si="49"/>
        <v>12.7</v>
      </c>
      <c r="G784" s="43">
        <f t="shared" si="50"/>
        <v>344.73786399999557</v>
      </c>
      <c r="H784" s="43">
        <f t="shared" si="51"/>
        <v>72.476385581101425</v>
      </c>
      <c r="I784" s="42"/>
    </row>
    <row r="785" spans="1:9" ht="12.75" customHeight="1">
      <c r="A785" s="43">
        <v>200</v>
      </c>
      <c r="B785" s="43">
        <v>5</v>
      </c>
      <c r="C785" s="43">
        <v>60</v>
      </c>
      <c r="D785" s="43">
        <v>273.2</v>
      </c>
      <c r="E785" s="43">
        <f t="shared" si="48"/>
        <v>54.289427401574109</v>
      </c>
      <c r="F785" s="43">
        <f t="shared" si="49"/>
        <v>12.7</v>
      </c>
      <c r="G785" s="43">
        <f t="shared" si="50"/>
        <v>413.6854367999947</v>
      </c>
      <c r="H785" s="43">
        <f t="shared" si="51"/>
        <v>74.159357830550221</v>
      </c>
      <c r="I785" s="42"/>
    </row>
    <row r="786" spans="1:9" ht="12.75" customHeight="1">
      <c r="A786" s="43">
        <v>200</v>
      </c>
      <c r="B786" s="43">
        <v>5</v>
      </c>
      <c r="C786" s="43">
        <v>70</v>
      </c>
      <c r="D786" s="43">
        <v>279.39999999999998</v>
      </c>
      <c r="E786" s="43">
        <f t="shared" si="48"/>
        <v>54.289427401574109</v>
      </c>
      <c r="F786" s="43">
        <f t="shared" si="49"/>
        <v>12.7</v>
      </c>
      <c r="G786" s="43">
        <f t="shared" si="50"/>
        <v>482.63300959999384</v>
      </c>
      <c r="H786" s="43">
        <f t="shared" si="51"/>
        <v>75.842330079999016</v>
      </c>
      <c r="I786" s="42"/>
    </row>
    <row r="787" spans="1:9" ht="12.75" customHeight="1">
      <c r="A787" s="43">
        <v>200</v>
      </c>
      <c r="B787" s="43">
        <v>5</v>
      </c>
      <c r="C787" s="43">
        <v>80</v>
      </c>
      <c r="D787" s="43">
        <v>285.59999999999997</v>
      </c>
      <c r="E787" s="43">
        <f t="shared" si="48"/>
        <v>54.289427401574109</v>
      </c>
      <c r="F787" s="43">
        <f t="shared" si="49"/>
        <v>12.7</v>
      </c>
      <c r="G787" s="43">
        <f t="shared" si="50"/>
        <v>551.58058239999298</v>
      </c>
      <c r="H787" s="43">
        <f t="shared" si="51"/>
        <v>77.525302329447811</v>
      </c>
      <c r="I787" s="42"/>
    </row>
    <row r="788" spans="1:9" ht="12.75" customHeight="1">
      <c r="A788" s="43">
        <v>200</v>
      </c>
      <c r="B788" s="43">
        <v>5</v>
      </c>
      <c r="C788" s="43">
        <v>90</v>
      </c>
      <c r="D788" s="43">
        <v>291.79999999999995</v>
      </c>
      <c r="E788" s="43">
        <f t="shared" si="48"/>
        <v>54.289427401574109</v>
      </c>
      <c r="F788" s="43">
        <f t="shared" si="49"/>
        <v>12.7</v>
      </c>
      <c r="G788" s="43">
        <f t="shared" si="50"/>
        <v>620.52815519999206</v>
      </c>
      <c r="H788" s="43">
        <f t="shared" si="51"/>
        <v>79.208274578896606</v>
      </c>
      <c r="I788" s="42"/>
    </row>
    <row r="789" spans="1:9" ht="12.75" customHeight="1">
      <c r="A789" s="43">
        <v>200</v>
      </c>
      <c r="B789" s="43">
        <v>5</v>
      </c>
      <c r="C789" s="43">
        <v>100</v>
      </c>
      <c r="D789" s="43">
        <v>298</v>
      </c>
      <c r="E789" s="43">
        <f t="shared" si="48"/>
        <v>54.289427401574109</v>
      </c>
      <c r="F789" s="43">
        <f t="shared" si="49"/>
        <v>12.7</v>
      </c>
      <c r="G789" s="43">
        <f t="shared" si="50"/>
        <v>689.47572799999114</v>
      </c>
      <c r="H789" s="43">
        <f t="shared" si="51"/>
        <v>80.89124682834543</v>
      </c>
      <c r="I789" s="42"/>
    </row>
    <row r="790" spans="1:9" ht="12.75" customHeight="1">
      <c r="A790" s="43">
        <v>200</v>
      </c>
      <c r="B790" s="43">
        <v>5</v>
      </c>
      <c r="C790" s="43">
        <v>150</v>
      </c>
      <c r="D790" s="43">
        <v>323</v>
      </c>
      <c r="E790" s="43">
        <f t="shared" si="48"/>
        <v>54.289427401574109</v>
      </c>
      <c r="F790" s="43">
        <f t="shared" si="49"/>
        <v>12.7</v>
      </c>
      <c r="G790" s="43">
        <f t="shared" si="50"/>
        <v>1034.2135919999869</v>
      </c>
      <c r="H790" s="43">
        <f t="shared" si="51"/>
        <v>87.677425253542182</v>
      </c>
      <c r="I790" s="42"/>
    </row>
    <row r="791" spans="1:9" ht="12.75" customHeight="1">
      <c r="A791" s="43">
        <v>200</v>
      </c>
      <c r="B791" s="43">
        <v>5</v>
      </c>
      <c r="C791" s="43">
        <v>200</v>
      </c>
      <c r="D791" s="43">
        <v>348</v>
      </c>
      <c r="E791" s="43">
        <f t="shared" si="48"/>
        <v>54.289427401574109</v>
      </c>
      <c r="F791" s="43">
        <f t="shared" si="49"/>
        <v>12.7</v>
      </c>
      <c r="G791" s="43">
        <f t="shared" si="50"/>
        <v>1378.9514559999823</v>
      </c>
      <c r="H791" s="43">
        <f t="shared" si="51"/>
        <v>94.463603678738949</v>
      </c>
      <c r="I791" s="42"/>
    </row>
    <row r="792" spans="1:9" ht="12.75" customHeight="1">
      <c r="A792" s="43">
        <v>200</v>
      </c>
      <c r="B792" s="43">
        <v>5</v>
      </c>
      <c r="C792" s="43">
        <v>250</v>
      </c>
      <c r="D792" s="43">
        <v>373</v>
      </c>
      <c r="E792" s="43">
        <f t="shared" si="48"/>
        <v>54.289427401574109</v>
      </c>
      <c r="F792" s="43">
        <f t="shared" si="49"/>
        <v>12.7</v>
      </c>
      <c r="G792" s="43">
        <f t="shared" si="50"/>
        <v>1723.6893199999779</v>
      </c>
      <c r="H792" s="43">
        <f t="shared" si="51"/>
        <v>101.2497821039357</v>
      </c>
      <c r="I792" s="42"/>
    </row>
    <row r="793" spans="1:9" ht="12.75" customHeight="1">
      <c r="A793" s="43">
        <v>200</v>
      </c>
      <c r="B793" s="43">
        <v>5</v>
      </c>
      <c r="C793" s="43">
        <v>300</v>
      </c>
      <c r="D793" s="43">
        <v>398</v>
      </c>
      <c r="E793" s="43">
        <f t="shared" si="48"/>
        <v>54.289427401574109</v>
      </c>
      <c r="F793" s="43">
        <f t="shared" si="49"/>
        <v>12.7</v>
      </c>
      <c r="G793" s="43">
        <f t="shared" si="50"/>
        <v>2068.4271839999737</v>
      </c>
      <c r="H793" s="43">
        <f t="shared" si="51"/>
        <v>108.03596052913247</v>
      </c>
      <c r="I793" s="42"/>
    </row>
    <row r="794" spans="1:9" ht="12.75" customHeight="1">
      <c r="A794" s="43">
        <v>200</v>
      </c>
      <c r="B794" s="43">
        <v>5</v>
      </c>
      <c r="C794" s="43">
        <v>350</v>
      </c>
      <c r="D794" s="43">
        <v>420.25</v>
      </c>
      <c r="E794" s="43">
        <f t="shared" si="48"/>
        <v>54.289427401574109</v>
      </c>
      <c r="F794" s="43">
        <f t="shared" si="49"/>
        <v>12.7</v>
      </c>
      <c r="G794" s="43">
        <f t="shared" si="50"/>
        <v>2413.1650479999689</v>
      </c>
      <c r="H794" s="43">
        <f t="shared" si="51"/>
        <v>114.07565932755759</v>
      </c>
      <c r="I794" s="42"/>
    </row>
    <row r="795" spans="1:9" ht="12.75" customHeight="1">
      <c r="A795" s="43">
        <v>200</v>
      </c>
      <c r="B795" s="43">
        <v>5</v>
      </c>
      <c r="C795" s="43">
        <v>400</v>
      </c>
      <c r="D795" s="43">
        <v>442.5</v>
      </c>
      <c r="E795" s="43">
        <f t="shared" si="48"/>
        <v>54.289427401574109</v>
      </c>
      <c r="F795" s="43">
        <f t="shared" si="49"/>
        <v>12.7</v>
      </c>
      <c r="G795" s="43">
        <f t="shared" si="50"/>
        <v>2757.9029119999645</v>
      </c>
      <c r="H795" s="43">
        <f t="shared" si="51"/>
        <v>120.11535812598271</v>
      </c>
      <c r="I795" s="42"/>
    </row>
    <row r="796" spans="1:9" ht="12.75" customHeight="1">
      <c r="A796" s="43">
        <v>200</v>
      </c>
      <c r="B796" s="43">
        <v>5</v>
      </c>
      <c r="C796" s="43">
        <v>450</v>
      </c>
      <c r="D796" s="43">
        <v>464.75</v>
      </c>
      <c r="E796" s="43">
        <f t="shared" si="48"/>
        <v>54.289427401574109</v>
      </c>
      <c r="F796" s="43">
        <f t="shared" si="49"/>
        <v>12.7</v>
      </c>
      <c r="G796" s="43">
        <f t="shared" si="50"/>
        <v>3102.6407759999602</v>
      </c>
      <c r="H796" s="43">
        <f t="shared" si="51"/>
        <v>126.15505692440783</v>
      </c>
      <c r="I796" s="42"/>
    </row>
    <row r="797" spans="1:9" ht="12.75" customHeight="1">
      <c r="A797" s="43">
        <v>200</v>
      </c>
      <c r="B797" s="43">
        <v>5</v>
      </c>
      <c r="C797" s="43">
        <v>500</v>
      </c>
      <c r="D797" s="43">
        <v>487</v>
      </c>
      <c r="E797" s="43">
        <f t="shared" si="48"/>
        <v>54.289427401574109</v>
      </c>
      <c r="F797" s="43">
        <f t="shared" si="49"/>
        <v>12.7</v>
      </c>
      <c r="G797" s="43">
        <f t="shared" si="50"/>
        <v>3447.3786399999558</v>
      </c>
      <c r="H797" s="43">
        <f t="shared" si="51"/>
        <v>132.19475572283295</v>
      </c>
      <c r="I797" s="42"/>
    </row>
    <row r="798" spans="1:9" ht="12.75" customHeight="1">
      <c r="A798" s="43">
        <v>200</v>
      </c>
      <c r="B798" s="43">
        <v>5</v>
      </c>
      <c r="C798" s="43">
        <v>550</v>
      </c>
      <c r="D798" s="43">
        <v>507.5</v>
      </c>
      <c r="E798" s="43">
        <f t="shared" si="48"/>
        <v>54.289427401574109</v>
      </c>
      <c r="F798" s="43">
        <f t="shared" si="49"/>
        <v>12.7</v>
      </c>
      <c r="G798" s="43">
        <f t="shared" si="50"/>
        <v>3792.1165039999514</v>
      </c>
      <c r="H798" s="43">
        <f t="shared" si="51"/>
        <v>137.7594220314943</v>
      </c>
      <c r="I798" s="42"/>
    </row>
    <row r="799" spans="1:9" ht="12.75" customHeight="1">
      <c r="A799" s="43">
        <v>200</v>
      </c>
      <c r="B799" s="43">
        <v>5</v>
      </c>
      <c r="C799" s="43">
        <v>600</v>
      </c>
      <c r="D799" s="43">
        <v>528</v>
      </c>
      <c r="E799" s="43">
        <f t="shared" si="48"/>
        <v>54.289427401574109</v>
      </c>
      <c r="F799" s="43">
        <f t="shared" si="49"/>
        <v>12.7</v>
      </c>
      <c r="G799" s="43">
        <f t="shared" si="50"/>
        <v>4136.8543679999475</v>
      </c>
      <c r="H799" s="43">
        <f t="shared" si="51"/>
        <v>143.32408834015564</v>
      </c>
      <c r="I799" s="42"/>
    </row>
    <row r="800" spans="1:9" ht="12.75" customHeight="1">
      <c r="A800" s="43">
        <v>200</v>
      </c>
      <c r="B800" s="43">
        <v>5</v>
      </c>
      <c r="C800" s="43">
        <v>650</v>
      </c>
      <c r="D800" s="43">
        <v>548.5</v>
      </c>
      <c r="E800" s="43">
        <f t="shared" si="48"/>
        <v>54.289427401574109</v>
      </c>
      <c r="F800" s="43">
        <f t="shared" si="49"/>
        <v>12.7</v>
      </c>
      <c r="G800" s="43">
        <f t="shared" si="50"/>
        <v>4481.5922319999427</v>
      </c>
      <c r="H800" s="43">
        <f t="shared" si="51"/>
        <v>148.88875464881698</v>
      </c>
      <c r="I800" s="42"/>
    </row>
    <row r="801" spans="1:9" ht="12.75" customHeight="1">
      <c r="A801" s="43">
        <v>200</v>
      </c>
      <c r="B801" s="43">
        <v>5</v>
      </c>
      <c r="C801" s="43">
        <v>700</v>
      </c>
      <c r="D801" s="43">
        <v>569</v>
      </c>
      <c r="E801" s="43">
        <f t="shared" si="48"/>
        <v>54.289427401574109</v>
      </c>
      <c r="F801" s="43">
        <f t="shared" si="49"/>
        <v>12.7</v>
      </c>
      <c r="G801" s="43">
        <f t="shared" si="50"/>
        <v>4826.3300959999378</v>
      </c>
      <c r="H801" s="43">
        <f t="shared" si="51"/>
        <v>154.45342095747833</v>
      </c>
      <c r="I801" s="42"/>
    </row>
    <row r="802" spans="1:9" ht="12.75" customHeight="1">
      <c r="A802" s="43">
        <v>200</v>
      </c>
      <c r="B802" s="43">
        <v>5</v>
      </c>
      <c r="C802" s="43">
        <v>750</v>
      </c>
      <c r="D802" s="43">
        <v>589.5</v>
      </c>
      <c r="E802" s="43">
        <f t="shared" si="48"/>
        <v>54.289427401574109</v>
      </c>
      <c r="F802" s="43">
        <f t="shared" si="49"/>
        <v>12.7</v>
      </c>
      <c r="G802" s="43">
        <f t="shared" si="50"/>
        <v>5171.0679599999339</v>
      </c>
      <c r="H802" s="43">
        <f t="shared" si="51"/>
        <v>160.01808726613967</v>
      </c>
      <c r="I802" s="42"/>
    </row>
    <row r="803" spans="1:9" ht="12.75" customHeight="1">
      <c r="A803" s="43">
        <v>200</v>
      </c>
      <c r="B803" s="43">
        <v>5</v>
      </c>
      <c r="C803" s="43">
        <v>800</v>
      </c>
      <c r="D803" s="43">
        <v>610</v>
      </c>
      <c r="E803" s="43">
        <f t="shared" si="48"/>
        <v>54.289427401574109</v>
      </c>
      <c r="F803" s="43">
        <f t="shared" si="49"/>
        <v>12.7</v>
      </c>
      <c r="G803" s="43">
        <f t="shared" si="50"/>
        <v>5515.8058239999291</v>
      </c>
      <c r="H803" s="43">
        <f t="shared" si="51"/>
        <v>165.58275357480102</v>
      </c>
      <c r="I803" s="42"/>
    </row>
    <row r="804" spans="1:9" ht="12.75" customHeight="1">
      <c r="A804" s="43">
        <v>200</v>
      </c>
      <c r="B804" s="43">
        <v>5</v>
      </c>
      <c r="C804" s="43">
        <v>850</v>
      </c>
      <c r="D804" s="43">
        <v>630.5</v>
      </c>
      <c r="E804" s="43">
        <f t="shared" si="48"/>
        <v>54.289427401574109</v>
      </c>
      <c r="F804" s="43">
        <f t="shared" si="49"/>
        <v>12.7</v>
      </c>
      <c r="G804" s="43">
        <f t="shared" si="50"/>
        <v>5860.5436879999252</v>
      </c>
      <c r="H804" s="43">
        <f t="shared" si="51"/>
        <v>171.14741988346236</v>
      </c>
      <c r="I804" s="42"/>
    </row>
    <row r="805" spans="1:9" ht="12.75" customHeight="1">
      <c r="A805" s="43">
        <v>200</v>
      </c>
      <c r="B805" s="43">
        <v>5</v>
      </c>
      <c r="C805" s="43">
        <v>900</v>
      </c>
      <c r="D805" s="43">
        <v>651</v>
      </c>
      <c r="E805" s="43">
        <f t="shared" si="48"/>
        <v>54.289427401574109</v>
      </c>
      <c r="F805" s="43">
        <f t="shared" si="49"/>
        <v>12.7</v>
      </c>
      <c r="G805" s="43">
        <f t="shared" si="50"/>
        <v>6205.2815519999203</v>
      </c>
      <c r="H805" s="43">
        <f t="shared" si="51"/>
        <v>176.71208619212373</v>
      </c>
      <c r="I805" s="42"/>
    </row>
    <row r="806" spans="1:9" ht="12.75" customHeight="1">
      <c r="A806" s="43">
        <v>200</v>
      </c>
      <c r="B806" s="43">
        <v>5</v>
      </c>
      <c r="C806" s="43">
        <v>950</v>
      </c>
      <c r="D806" s="43">
        <v>671.5</v>
      </c>
      <c r="E806" s="43">
        <f t="shared" si="48"/>
        <v>54.289427401574109</v>
      </c>
      <c r="F806" s="43">
        <f t="shared" si="49"/>
        <v>12.7</v>
      </c>
      <c r="G806" s="43">
        <f t="shared" si="50"/>
        <v>6550.0194159999164</v>
      </c>
      <c r="H806" s="43">
        <f t="shared" si="51"/>
        <v>182.27675250078505</v>
      </c>
      <c r="I806" s="42"/>
    </row>
    <row r="807" spans="1:9" ht="12.75" customHeight="1">
      <c r="A807" s="43">
        <v>200</v>
      </c>
      <c r="B807" s="43">
        <v>5</v>
      </c>
      <c r="C807" s="43">
        <v>1000</v>
      </c>
      <c r="D807" s="43">
        <v>692</v>
      </c>
      <c r="E807" s="43">
        <f t="shared" si="48"/>
        <v>54.289427401574109</v>
      </c>
      <c r="F807" s="43">
        <f t="shared" si="49"/>
        <v>12.7</v>
      </c>
      <c r="G807" s="43">
        <f t="shared" si="50"/>
        <v>6894.7572799999116</v>
      </c>
      <c r="H807" s="43">
        <f t="shared" si="51"/>
        <v>187.8414188094464</v>
      </c>
      <c r="I807" s="42"/>
    </row>
    <row r="808" spans="1:9" ht="12.75" customHeight="1">
      <c r="A808" s="43">
        <v>200</v>
      </c>
      <c r="B808" s="43">
        <v>5</v>
      </c>
      <c r="C808" s="43">
        <v>1100</v>
      </c>
      <c r="D808" s="43">
        <v>727.6</v>
      </c>
      <c r="E808" s="43">
        <f t="shared" si="48"/>
        <v>54.289427401574109</v>
      </c>
      <c r="F808" s="43">
        <f t="shared" si="49"/>
        <v>12.7</v>
      </c>
      <c r="G808" s="43">
        <f t="shared" si="50"/>
        <v>7584.2330079999028</v>
      </c>
      <c r="H808" s="43">
        <f t="shared" si="51"/>
        <v>197.5049368869266</v>
      </c>
      <c r="I808" s="42"/>
    </row>
    <row r="809" spans="1:9" ht="12.75" customHeight="1">
      <c r="A809" s="43">
        <v>200</v>
      </c>
      <c r="B809" s="43">
        <v>5</v>
      </c>
      <c r="C809" s="43">
        <v>1200</v>
      </c>
      <c r="D809" s="43">
        <v>763.2</v>
      </c>
      <c r="E809" s="43">
        <f t="shared" si="48"/>
        <v>54.289427401574109</v>
      </c>
      <c r="F809" s="43">
        <f t="shared" si="49"/>
        <v>12.7</v>
      </c>
      <c r="G809" s="43">
        <f t="shared" si="50"/>
        <v>8273.708735999895</v>
      </c>
      <c r="H809" s="43">
        <f t="shared" si="51"/>
        <v>207.16845496440681</v>
      </c>
      <c r="I809" s="42"/>
    </row>
    <row r="810" spans="1:9" ht="12.75" customHeight="1">
      <c r="A810" s="43">
        <v>200</v>
      </c>
      <c r="B810" s="43">
        <v>5</v>
      </c>
      <c r="C810" s="43">
        <v>1300</v>
      </c>
      <c r="D810" s="43">
        <v>798.80000000000007</v>
      </c>
      <c r="E810" s="43">
        <f t="shared" si="48"/>
        <v>54.289427401574109</v>
      </c>
      <c r="F810" s="43">
        <f t="shared" si="49"/>
        <v>12.7</v>
      </c>
      <c r="G810" s="43">
        <f t="shared" si="50"/>
        <v>8963.1844639998853</v>
      </c>
      <c r="H810" s="43">
        <f t="shared" si="51"/>
        <v>216.83197304188698</v>
      </c>
      <c r="I810" s="42"/>
    </row>
    <row r="811" spans="1:9" ht="12.75" customHeight="1">
      <c r="A811" s="43">
        <v>200</v>
      </c>
      <c r="B811" s="43">
        <v>5</v>
      </c>
      <c r="C811" s="43">
        <v>1400</v>
      </c>
      <c r="D811" s="43">
        <v>834.40000000000009</v>
      </c>
      <c r="E811" s="43">
        <f t="shared" si="48"/>
        <v>54.289427401574109</v>
      </c>
      <c r="F811" s="43">
        <f t="shared" si="49"/>
        <v>12.7</v>
      </c>
      <c r="G811" s="43">
        <f t="shared" si="50"/>
        <v>9652.6601919998757</v>
      </c>
      <c r="H811" s="43">
        <f t="shared" si="51"/>
        <v>226.49549111936719</v>
      </c>
      <c r="I811" s="42"/>
    </row>
    <row r="812" spans="1:9" ht="12.75" customHeight="1">
      <c r="A812" s="43">
        <v>200</v>
      </c>
      <c r="B812" s="43">
        <v>5</v>
      </c>
      <c r="C812" s="43">
        <v>1500</v>
      </c>
      <c r="D812" s="43">
        <v>870.00000000000011</v>
      </c>
      <c r="E812" s="43">
        <f t="shared" si="48"/>
        <v>54.289427401574109</v>
      </c>
      <c r="F812" s="43">
        <f t="shared" si="49"/>
        <v>12.7</v>
      </c>
      <c r="G812" s="43">
        <f t="shared" si="50"/>
        <v>10342.135919999868</v>
      </c>
      <c r="H812" s="43">
        <f t="shared" si="51"/>
        <v>236.15900919684739</v>
      </c>
      <c r="I812" s="42"/>
    </row>
    <row r="813" spans="1:9" ht="12.75" customHeight="1">
      <c r="A813" s="43">
        <v>200</v>
      </c>
      <c r="B813" s="43">
        <v>5</v>
      </c>
      <c r="C813" s="43">
        <v>1600</v>
      </c>
      <c r="D813" s="43">
        <v>905.60000000000014</v>
      </c>
      <c r="E813" s="43">
        <f t="shared" si="48"/>
        <v>54.289427401574109</v>
      </c>
      <c r="F813" s="43">
        <f t="shared" si="49"/>
        <v>12.7</v>
      </c>
      <c r="G813" s="43">
        <f t="shared" si="50"/>
        <v>11031.611647999858</v>
      </c>
      <c r="H813" s="43">
        <f t="shared" si="51"/>
        <v>245.8225272743276</v>
      </c>
      <c r="I813" s="42"/>
    </row>
    <row r="814" spans="1:9" ht="12.75" customHeight="1">
      <c r="A814" s="43">
        <v>200</v>
      </c>
      <c r="B814" s="43">
        <v>5</v>
      </c>
      <c r="C814" s="43">
        <v>1700</v>
      </c>
      <c r="D814" s="43">
        <v>941.20000000000016</v>
      </c>
      <c r="E814" s="43">
        <f t="shared" si="48"/>
        <v>54.289427401574109</v>
      </c>
      <c r="F814" s="43">
        <f t="shared" si="49"/>
        <v>12.7</v>
      </c>
      <c r="G814" s="43">
        <f t="shared" si="50"/>
        <v>11721.08737599985</v>
      </c>
      <c r="H814" s="43">
        <f t="shared" si="51"/>
        <v>255.48604535180777</v>
      </c>
      <c r="I814" s="42"/>
    </row>
    <row r="815" spans="1:9" ht="12.75" customHeight="1">
      <c r="A815" s="43">
        <v>200</v>
      </c>
      <c r="B815" s="43">
        <v>5</v>
      </c>
      <c r="C815" s="43">
        <v>1800</v>
      </c>
      <c r="D815" s="43">
        <v>976.80000000000018</v>
      </c>
      <c r="E815" s="43">
        <f t="shared" si="48"/>
        <v>54.289427401574109</v>
      </c>
      <c r="F815" s="43">
        <f t="shared" si="49"/>
        <v>12.7</v>
      </c>
      <c r="G815" s="43">
        <f t="shared" si="50"/>
        <v>12410.563103999841</v>
      </c>
      <c r="H815" s="43">
        <f t="shared" si="51"/>
        <v>265.14956342928798</v>
      </c>
      <c r="I815" s="42"/>
    </row>
    <row r="816" spans="1:9" ht="12.75" customHeight="1">
      <c r="A816" s="43">
        <v>200</v>
      </c>
      <c r="B816" s="43">
        <v>5</v>
      </c>
      <c r="C816" s="43">
        <v>1900</v>
      </c>
      <c r="D816" s="43">
        <v>1012.4000000000002</v>
      </c>
      <c r="E816" s="43">
        <f t="shared" si="48"/>
        <v>54.289427401574109</v>
      </c>
      <c r="F816" s="43">
        <f t="shared" si="49"/>
        <v>12.7</v>
      </c>
      <c r="G816" s="43">
        <f t="shared" si="50"/>
        <v>13100.038831999833</v>
      </c>
      <c r="H816" s="43">
        <f t="shared" si="51"/>
        <v>274.81308150676819</v>
      </c>
      <c r="I816" s="42"/>
    </row>
    <row r="817" spans="1:9" ht="12.75" customHeight="1">
      <c r="A817" s="43">
        <v>200</v>
      </c>
      <c r="B817" s="43">
        <v>5</v>
      </c>
      <c r="C817" s="43">
        <v>2000</v>
      </c>
      <c r="D817" s="43">
        <v>1048</v>
      </c>
      <c r="E817" s="43">
        <f t="shared" si="48"/>
        <v>54.289427401574109</v>
      </c>
      <c r="F817" s="43">
        <f t="shared" si="49"/>
        <v>12.7</v>
      </c>
      <c r="G817" s="43">
        <f t="shared" si="50"/>
        <v>13789.514559999823</v>
      </c>
      <c r="H817" s="43">
        <f t="shared" si="51"/>
        <v>284.47659958424833</v>
      </c>
      <c r="I817" s="42"/>
    </row>
    <row r="818" spans="1:9" ht="12.75" customHeight="1">
      <c r="A818" s="43">
        <v>200</v>
      </c>
      <c r="B818" s="43">
        <v>6</v>
      </c>
      <c r="C818" s="43">
        <v>50</v>
      </c>
      <c r="D818" s="43">
        <v>284</v>
      </c>
      <c r="E818" s="43">
        <f t="shared" si="48"/>
        <v>54.289427401574109</v>
      </c>
      <c r="F818" s="43">
        <f t="shared" si="49"/>
        <v>15.24</v>
      </c>
      <c r="G818" s="43">
        <f t="shared" si="50"/>
        <v>344.73786399999557</v>
      </c>
      <c r="H818" s="43">
        <f t="shared" si="51"/>
        <v>77.09098691023523</v>
      </c>
      <c r="I818" s="42"/>
    </row>
    <row r="819" spans="1:9" ht="12.75" customHeight="1">
      <c r="A819" s="43">
        <v>200</v>
      </c>
      <c r="B819" s="43">
        <v>6</v>
      </c>
      <c r="C819" s="43">
        <v>60</v>
      </c>
      <c r="D819" s="43">
        <v>292.8</v>
      </c>
      <c r="E819" s="43">
        <f t="shared" si="48"/>
        <v>54.289427401574109</v>
      </c>
      <c r="F819" s="43">
        <f t="shared" si="49"/>
        <v>15.24</v>
      </c>
      <c r="G819" s="43">
        <f t="shared" si="50"/>
        <v>413.6854367999947</v>
      </c>
      <c r="H819" s="43">
        <f t="shared" si="51"/>
        <v>79.479721715904489</v>
      </c>
      <c r="I819" s="42"/>
    </row>
    <row r="820" spans="1:9" ht="12.75" customHeight="1">
      <c r="A820" s="43">
        <v>200</v>
      </c>
      <c r="B820" s="43">
        <v>6</v>
      </c>
      <c r="C820" s="43">
        <v>70</v>
      </c>
      <c r="D820" s="43">
        <v>301.60000000000002</v>
      </c>
      <c r="E820" s="43">
        <f t="shared" si="48"/>
        <v>54.289427401574109</v>
      </c>
      <c r="F820" s="43">
        <f t="shared" si="49"/>
        <v>15.24</v>
      </c>
      <c r="G820" s="43">
        <f t="shared" si="50"/>
        <v>482.63300959999384</v>
      </c>
      <c r="H820" s="43">
        <f t="shared" si="51"/>
        <v>81.868456521573762</v>
      </c>
      <c r="I820" s="42"/>
    </row>
    <row r="821" spans="1:9" ht="12.75" customHeight="1">
      <c r="A821" s="43">
        <v>200</v>
      </c>
      <c r="B821" s="43">
        <v>6</v>
      </c>
      <c r="C821" s="43">
        <v>80</v>
      </c>
      <c r="D821" s="43">
        <v>310.40000000000003</v>
      </c>
      <c r="E821" s="43">
        <f t="shared" si="48"/>
        <v>54.289427401574109</v>
      </c>
      <c r="F821" s="43">
        <f t="shared" si="49"/>
        <v>15.24</v>
      </c>
      <c r="G821" s="43">
        <f t="shared" si="50"/>
        <v>551.58058239999298</v>
      </c>
      <c r="H821" s="43">
        <f t="shared" si="51"/>
        <v>84.257191327243021</v>
      </c>
      <c r="I821" s="42"/>
    </row>
    <row r="822" spans="1:9" ht="12.75" customHeight="1">
      <c r="A822" s="43">
        <v>200</v>
      </c>
      <c r="B822" s="43">
        <v>6</v>
      </c>
      <c r="C822" s="43">
        <v>90</v>
      </c>
      <c r="D822" s="43">
        <v>319.20000000000005</v>
      </c>
      <c r="E822" s="43">
        <f t="shared" si="48"/>
        <v>54.289427401574109</v>
      </c>
      <c r="F822" s="43">
        <f t="shared" si="49"/>
        <v>15.24</v>
      </c>
      <c r="G822" s="43">
        <f t="shared" si="50"/>
        <v>620.52815519999206</v>
      </c>
      <c r="H822" s="43">
        <f t="shared" si="51"/>
        <v>86.64592613291228</v>
      </c>
      <c r="I822" s="42"/>
    </row>
    <row r="823" spans="1:9" ht="12.75" customHeight="1">
      <c r="A823" s="43">
        <v>200</v>
      </c>
      <c r="B823" s="43">
        <v>6</v>
      </c>
      <c r="C823" s="43">
        <v>100</v>
      </c>
      <c r="D823" s="43">
        <v>328</v>
      </c>
      <c r="E823" s="43">
        <f t="shared" si="48"/>
        <v>54.289427401574109</v>
      </c>
      <c r="F823" s="43">
        <f t="shared" si="49"/>
        <v>15.24</v>
      </c>
      <c r="G823" s="43">
        <f t="shared" si="50"/>
        <v>689.47572799999114</v>
      </c>
      <c r="H823" s="43">
        <f t="shared" si="51"/>
        <v>89.034660938581538</v>
      </c>
      <c r="I823" s="42"/>
    </row>
    <row r="824" spans="1:9" ht="12.75" customHeight="1">
      <c r="A824" s="43">
        <v>200</v>
      </c>
      <c r="B824" s="43">
        <v>6</v>
      </c>
      <c r="C824" s="43">
        <v>150</v>
      </c>
      <c r="D824" s="43">
        <v>363.75</v>
      </c>
      <c r="E824" s="43">
        <f t="shared" si="48"/>
        <v>54.289427401574109</v>
      </c>
      <c r="F824" s="43">
        <f t="shared" si="49"/>
        <v>15.24</v>
      </c>
      <c r="G824" s="43">
        <f t="shared" si="50"/>
        <v>1034.2135919999869</v>
      </c>
      <c r="H824" s="43">
        <f t="shared" si="51"/>
        <v>98.738896086612911</v>
      </c>
      <c r="I824" s="42"/>
    </row>
    <row r="825" spans="1:9" ht="12.75" customHeight="1">
      <c r="A825" s="43">
        <v>200</v>
      </c>
      <c r="B825" s="43">
        <v>6</v>
      </c>
      <c r="C825" s="43">
        <v>200</v>
      </c>
      <c r="D825" s="43">
        <v>399.5</v>
      </c>
      <c r="E825" s="43">
        <f t="shared" si="48"/>
        <v>54.289427401574109</v>
      </c>
      <c r="F825" s="43">
        <f t="shared" si="49"/>
        <v>15.24</v>
      </c>
      <c r="G825" s="43">
        <f t="shared" si="50"/>
        <v>1378.9514559999823</v>
      </c>
      <c r="H825" s="43">
        <f t="shared" si="51"/>
        <v>108.44313123464427</v>
      </c>
      <c r="I825" s="42"/>
    </row>
    <row r="826" spans="1:9" ht="12.75" customHeight="1">
      <c r="A826" s="43">
        <v>200</v>
      </c>
      <c r="B826" s="43">
        <v>6</v>
      </c>
      <c r="C826" s="43">
        <v>250</v>
      </c>
      <c r="D826" s="43">
        <v>435.25</v>
      </c>
      <c r="E826" s="43">
        <f t="shared" si="48"/>
        <v>54.289427401574109</v>
      </c>
      <c r="F826" s="43">
        <f t="shared" si="49"/>
        <v>15.24</v>
      </c>
      <c r="G826" s="43">
        <f t="shared" si="50"/>
        <v>1723.6893199999779</v>
      </c>
      <c r="H826" s="43">
        <f t="shared" si="51"/>
        <v>118.14736638267564</v>
      </c>
      <c r="I826" s="42"/>
    </row>
    <row r="827" spans="1:9" ht="12.75" customHeight="1">
      <c r="A827" s="43">
        <v>200</v>
      </c>
      <c r="B827" s="43">
        <v>6</v>
      </c>
      <c r="C827" s="43">
        <v>300</v>
      </c>
      <c r="D827" s="43">
        <v>471</v>
      </c>
      <c r="E827" s="43">
        <f t="shared" si="48"/>
        <v>54.289427401574109</v>
      </c>
      <c r="F827" s="43">
        <f t="shared" si="49"/>
        <v>15.24</v>
      </c>
      <c r="G827" s="43">
        <f t="shared" si="50"/>
        <v>2068.4271839999737</v>
      </c>
      <c r="H827" s="43">
        <f t="shared" si="51"/>
        <v>127.85160153070701</v>
      </c>
      <c r="I827" s="42"/>
    </row>
    <row r="828" spans="1:9" ht="12.75" customHeight="1">
      <c r="A828" s="43">
        <v>200</v>
      </c>
      <c r="B828" s="43">
        <v>6</v>
      </c>
      <c r="C828" s="43">
        <v>350</v>
      </c>
      <c r="D828" s="43">
        <v>504.75</v>
      </c>
      <c r="E828" s="43">
        <f t="shared" si="48"/>
        <v>54.289427401574109</v>
      </c>
      <c r="F828" s="43">
        <f t="shared" si="49"/>
        <v>15.24</v>
      </c>
      <c r="G828" s="43">
        <f t="shared" si="50"/>
        <v>2413.1650479999689</v>
      </c>
      <c r="H828" s="43">
        <f t="shared" si="51"/>
        <v>137.01294240472265</v>
      </c>
      <c r="I828" s="42"/>
    </row>
    <row r="829" spans="1:9" ht="12.75" customHeight="1">
      <c r="A829" s="43">
        <v>200</v>
      </c>
      <c r="B829" s="43">
        <v>6</v>
      </c>
      <c r="C829" s="43">
        <v>400</v>
      </c>
      <c r="D829" s="43">
        <v>538.5</v>
      </c>
      <c r="E829" s="43">
        <f t="shared" si="48"/>
        <v>54.289427401574109</v>
      </c>
      <c r="F829" s="43">
        <f t="shared" si="49"/>
        <v>15.24</v>
      </c>
      <c r="G829" s="43">
        <f t="shared" si="50"/>
        <v>2757.9029119999645</v>
      </c>
      <c r="H829" s="43">
        <f t="shared" si="51"/>
        <v>146.17428327873827</v>
      </c>
      <c r="I829" s="42"/>
    </row>
    <row r="830" spans="1:9" ht="12.75" customHeight="1">
      <c r="A830" s="43">
        <v>200</v>
      </c>
      <c r="B830" s="43">
        <v>6</v>
      </c>
      <c r="C830" s="43">
        <v>450</v>
      </c>
      <c r="D830" s="43">
        <v>572.25</v>
      </c>
      <c r="E830" s="43">
        <f t="shared" si="48"/>
        <v>54.289427401574109</v>
      </c>
      <c r="F830" s="43">
        <f t="shared" si="49"/>
        <v>15.24</v>
      </c>
      <c r="G830" s="43">
        <f t="shared" si="50"/>
        <v>3102.6407759999602</v>
      </c>
      <c r="H830" s="43">
        <f t="shared" si="51"/>
        <v>155.33562415275392</v>
      </c>
      <c r="I830" s="42"/>
    </row>
    <row r="831" spans="1:9" ht="12.75" customHeight="1">
      <c r="A831" s="43">
        <v>200</v>
      </c>
      <c r="B831" s="43">
        <v>6</v>
      </c>
      <c r="C831" s="43">
        <v>500</v>
      </c>
      <c r="D831" s="43">
        <v>606</v>
      </c>
      <c r="E831" s="43">
        <f t="shared" si="48"/>
        <v>54.289427401574109</v>
      </c>
      <c r="F831" s="43">
        <f t="shared" si="49"/>
        <v>15.24</v>
      </c>
      <c r="G831" s="43">
        <f t="shared" si="50"/>
        <v>3447.3786399999558</v>
      </c>
      <c r="H831" s="43">
        <f t="shared" si="51"/>
        <v>164.49696502676954</v>
      </c>
      <c r="I831" s="42"/>
    </row>
    <row r="832" spans="1:9" ht="12.75" customHeight="1">
      <c r="A832" s="43">
        <v>200</v>
      </c>
      <c r="B832" s="43">
        <v>6</v>
      </c>
      <c r="C832" s="43">
        <v>550</v>
      </c>
      <c r="D832" s="43">
        <v>636.1</v>
      </c>
      <c r="E832" s="43">
        <f t="shared" si="48"/>
        <v>54.289427401574109</v>
      </c>
      <c r="F832" s="43">
        <f t="shared" si="49"/>
        <v>15.24</v>
      </c>
      <c r="G832" s="43">
        <f t="shared" si="50"/>
        <v>3792.1165039999514</v>
      </c>
      <c r="H832" s="43">
        <f t="shared" si="51"/>
        <v>172.66752385070643</v>
      </c>
      <c r="I832" s="42"/>
    </row>
    <row r="833" spans="1:9" ht="12.75" customHeight="1">
      <c r="A833" s="43">
        <v>200</v>
      </c>
      <c r="B833" s="43">
        <v>6</v>
      </c>
      <c r="C833" s="43">
        <v>600</v>
      </c>
      <c r="D833" s="43">
        <v>666.2</v>
      </c>
      <c r="E833" s="43">
        <f t="shared" si="48"/>
        <v>54.289427401574109</v>
      </c>
      <c r="F833" s="43">
        <f t="shared" si="49"/>
        <v>15.24</v>
      </c>
      <c r="G833" s="43">
        <f t="shared" si="50"/>
        <v>4136.8543679999475</v>
      </c>
      <c r="H833" s="43">
        <f t="shared" si="51"/>
        <v>180.83808267464335</v>
      </c>
      <c r="I833" s="42"/>
    </row>
    <row r="834" spans="1:9" ht="12.75" customHeight="1">
      <c r="A834" s="43">
        <v>200</v>
      </c>
      <c r="B834" s="43">
        <v>6</v>
      </c>
      <c r="C834" s="43">
        <v>650</v>
      </c>
      <c r="D834" s="43">
        <v>696.30000000000007</v>
      </c>
      <c r="E834" s="43">
        <f t="shared" si="48"/>
        <v>54.289427401574109</v>
      </c>
      <c r="F834" s="43">
        <f t="shared" si="49"/>
        <v>15.24</v>
      </c>
      <c r="G834" s="43">
        <f t="shared" si="50"/>
        <v>4481.5922319999427</v>
      </c>
      <c r="H834" s="43">
        <f t="shared" si="51"/>
        <v>189.00864149858029</v>
      </c>
      <c r="I834" s="42"/>
    </row>
    <row r="835" spans="1:9" ht="12.75" customHeight="1">
      <c r="A835" s="43">
        <v>200</v>
      </c>
      <c r="B835" s="43">
        <v>6</v>
      </c>
      <c r="C835" s="43">
        <v>700</v>
      </c>
      <c r="D835" s="43">
        <v>726.40000000000009</v>
      </c>
      <c r="E835" s="43">
        <f t="shared" ref="E835:E898" si="52">A835/145.03773800722/0.0254</f>
        <v>54.289427401574109</v>
      </c>
      <c r="F835" s="43">
        <f t="shared" ref="F835:F898" si="53">B835*2.54</f>
        <v>15.24</v>
      </c>
      <c r="G835" s="43">
        <f t="shared" ref="G835:G898" si="54">C835/0.14503773800722</f>
        <v>4826.3300959999378</v>
      </c>
      <c r="H835" s="43">
        <f t="shared" ref="H835:H898" si="55">D835/145.03773800722/0.0254</f>
        <v>197.17920032251715</v>
      </c>
      <c r="I835" s="42"/>
    </row>
    <row r="836" spans="1:9" ht="12.75" customHeight="1">
      <c r="A836" s="43">
        <v>200</v>
      </c>
      <c r="B836" s="43">
        <v>6</v>
      </c>
      <c r="C836" s="43">
        <v>750</v>
      </c>
      <c r="D836" s="43">
        <v>756.50000000000011</v>
      </c>
      <c r="E836" s="43">
        <f t="shared" si="52"/>
        <v>54.289427401574109</v>
      </c>
      <c r="F836" s="43">
        <f t="shared" si="53"/>
        <v>15.24</v>
      </c>
      <c r="G836" s="43">
        <f t="shared" si="54"/>
        <v>5171.0679599999339</v>
      </c>
      <c r="H836" s="43">
        <f t="shared" si="55"/>
        <v>205.34975914645409</v>
      </c>
      <c r="I836" s="42"/>
    </row>
    <row r="837" spans="1:9" ht="12.75" customHeight="1">
      <c r="A837" s="43">
        <v>200</v>
      </c>
      <c r="B837" s="43">
        <v>6</v>
      </c>
      <c r="C837" s="43">
        <v>800</v>
      </c>
      <c r="D837" s="43">
        <v>786.60000000000014</v>
      </c>
      <c r="E837" s="43">
        <f t="shared" si="52"/>
        <v>54.289427401574109</v>
      </c>
      <c r="F837" s="43">
        <f t="shared" si="53"/>
        <v>15.24</v>
      </c>
      <c r="G837" s="43">
        <f t="shared" si="54"/>
        <v>5515.8058239999291</v>
      </c>
      <c r="H837" s="43">
        <f t="shared" si="55"/>
        <v>213.52031797039101</v>
      </c>
      <c r="I837" s="42"/>
    </row>
    <row r="838" spans="1:9" ht="12.75" customHeight="1">
      <c r="A838" s="43">
        <v>200</v>
      </c>
      <c r="B838" s="43">
        <v>6</v>
      </c>
      <c r="C838" s="43">
        <v>850</v>
      </c>
      <c r="D838" s="43">
        <v>816.70000000000016</v>
      </c>
      <c r="E838" s="43">
        <f t="shared" si="52"/>
        <v>54.289427401574109</v>
      </c>
      <c r="F838" s="43">
        <f t="shared" si="53"/>
        <v>15.24</v>
      </c>
      <c r="G838" s="43">
        <f t="shared" si="54"/>
        <v>5860.5436879999252</v>
      </c>
      <c r="H838" s="43">
        <f t="shared" si="55"/>
        <v>221.69087679432792</v>
      </c>
      <c r="I838" s="42"/>
    </row>
    <row r="839" spans="1:9" ht="12.75" customHeight="1">
      <c r="A839" s="43">
        <v>200</v>
      </c>
      <c r="B839" s="43">
        <v>6</v>
      </c>
      <c r="C839" s="43">
        <v>900</v>
      </c>
      <c r="D839" s="43">
        <v>846.80000000000018</v>
      </c>
      <c r="E839" s="43">
        <f t="shared" si="52"/>
        <v>54.289427401574109</v>
      </c>
      <c r="F839" s="43">
        <f t="shared" si="53"/>
        <v>15.24</v>
      </c>
      <c r="G839" s="43">
        <f t="shared" si="54"/>
        <v>6205.2815519999203</v>
      </c>
      <c r="H839" s="43">
        <f t="shared" si="55"/>
        <v>229.86143561826481</v>
      </c>
      <c r="I839" s="42"/>
    </row>
    <row r="840" spans="1:9" ht="12.75" customHeight="1">
      <c r="A840" s="43">
        <v>200</v>
      </c>
      <c r="B840" s="43">
        <v>6</v>
      </c>
      <c r="C840" s="43">
        <v>950</v>
      </c>
      <c r="D840" s="43">
        <v>876.9000000000002</v>
      </c>
      <c r="E840" s="43">
        <f t="shared" si="52"/>
        <v>54.289427401574109</v>
      </c>
      <c r="F840" s="43">
        <f t="shared" si="53"/>
        <v>15.24</v>
      </c>
      <c r="G840" s="43">
        <f t="shared" si="54"/>
        <v>6550.0194159999164</v>
      </c>
      <c r="H840" s="43">
        <f t="shared" si="55"/>
        <v>238.03199444220172</v>
      </c>
      <c r="I840" s="42"/>
    </row>
    <row r="841" spans="1:9" ht="12.75" customHeight="1">
      <c r="A841" s="43">
        <v>200</v>
      </c>
      <c r="B841" s="43">
        <v>6</v>
      </c>
      <c r="C841" s="43">
        <v>1000</v>
      </c>
      <c r="D841" s="43">
        <v>907</v>
      </c>
      <c r="E841" s="43">
        <f t="shared" si="52"/>
        <v>54.289427401574109</v>
      </c>
      <c r="F841" s="43">
        <f t="shared" si="53"/>
        <v>15.24</v>
      </c>
      <c r="G841" s="43">
        <f t="shared" si="54"/>
        <v>6894.7572799999116</v>
      </c>
      <c r="H841" s="43">
        <f t="shared" si="55"/>
        <v>246.20255326613858</v>
      </c>
      <c r="I841" s="42"/>
    </row>
    <row r="842" spans="1:9" ht="12.75" customHeight="1">
      <c r="A842" s="43">
        <v>200</v>
      </c>
      <c r="B842" s="43">
        <v>6</v>
      </c>
      <c r="C842" s="43">
        <v>1100</v>
      </c>
      <c r="D842" s="43">
        <v>961</v>
      </c>
      <c r="E842" s="43">
        <f t="shared" si="52"/>
        <v>54.289427401574109</v>
      </c>
      <c r="F842" s="43">
        <f t="shared" si="53"/>
        <v>15.24</v>
      </c>
      <c r="G842" s="43">
        <f t="shared" si="54"/>
        <v>7584.2330079999028</v>
      </c>
      <c r="H842" s="43">
        <f t="shared" si="55"/>
        <v>260.86069866456359</v>
      </c>
      <c r="I842" s="42"/>
    </row>
    <row r="843" spans="1:9" ht="12.75" customHeight="1">
      <c r="A843" s="43">
        <v>200</v>
      </c>
      <c r="B843" s="43">
        <v>6</v>
      </c>
      <c r="C843" s="43">
        <v>1200</v>
      </c>
      <c r="D843" s="43">
        <v>1015</v>
      </c>
      <c r="E843" s="43">
        <f t="shared" si="52"/>
        <v>54.289427401574109</v>
      </c>
      <c r="F843" s="43">
        <f t="shared" si="53"/>
        <v>15.24</v>
      </c>
      <c r="G843" s="43">
        <f t="shared" si="54"/>
        <v>8273.708735999895</v>
      </c>
      <c r="H843" s="43">
        <f t="shared" si="55"/>
        <v>275.51884406298859</v>
      </c>
      <c r="I843" s="42"/>
    </row>
    <row r="844" spans="1:9" ht="12.75" customHeight="1">
      <c r="A844" s="43">
        <v>200</v>
      </c>
      <c r="B844" s="43">
        <v>6</v>
      </c>
      <c r="C844" s="43">
        <v>1300</v>
      </c>
      <c r="D844" s="43">
        <v>1069</v>
      </c>
      <c r="E844" s="43">
        <f t="shared" si="52"/>
        <v>54.289427401574109</v>
      </c>
      <c r="F844" s="43">
        <f t="shared" si="53"/>
        <v>15.24</v>
      </c>
      <c r="G844" s="43">
        <f t="shared" si="54"/>
        <v>8963.1844639998853</v>
      </c>
      <c r="H844" s="43">
        <f t="shared" si="55"/>
        <v>290.1769894614136</v>
      </c>
      <c r="I844" s="42"/>
    </row>
    <row r="845" spans="1:9" ht="12.75" customHeight="1">
      <c r="A845" s="43">
        <v>200</v>
      </c>
      <c r="B845" s="43">
        <v>6</v>
      </c>
      <c r="C845" s="43">
        <v>1400</v>
      </c>
      <c r="D845" s="43">
        <v>1123</v>
      </c>
      <c r="E845" s="43">
        <f t="shared" si="52"/>
        <v>54.289427401574109</v>
      </c>
      <c r="F845" s="43">
        <f t="shared" si="53"/>
        <v>15.24</v>
      </c>
      <c r="G845" s="43">
        <f t="shared" si="54"/>
        <v>9652.6601919998757</v>
      </c>
      <c r="H845" s="43">
        <f t="shared" si="55"/>
        <v>304.8351348598386</v>
      </c>
      <c r="I845" s="42"/>
    </row>
    <row r="846" spans="1:9" ht="12.75" customHeight="1">
      <c r="A846" s="43">
        <v>200</v>
      </c>
      <c r="B846" s="43">
        <v>6</v>
      </c>
      <c r="C846" s="43">
        <v>1500</v>
      </c>
      <c r="D846" s="43">
        <v>1177</v>
      </c>
      <c r="E846" s="43">
        <f t="shared" si="52"/>
        <v>54.289427401574109</v>
      </c>
      <c r="F846" s="43">
        <f t="shared" si="53"/>
        <v>15.24</v>
      </c>
      <c r="G846" s="43">
        <f t="shared" si="54"/>
        <v>10342.135919999868</v>
      </c>
      <c r="H846" s="43">
        <f t="shared" si="55"/>
        <v>319.49328025826367</v>
      </c>
      <c r="I846" s="42"/>
    </row>
    <row r="847" spans="1:9" ht="12.75" customHeight="1">
      <c r="A847" s="43">
        <v>200</v>
      </c>
      <c r="B847" s="43">
        <v>6</v>
      </c>
      <c r="C847" s="43">
        <v>1600</v>
      </c>
      <c r="D847" s="43">
        <v>1231</v>
      </c>
      <c r="E847" s="43">
        <f t="shared" si="52"/>
        <v>54.289427401574109</v>
      </c>
      <c r="F847" s="43">
        <f t="shared" si="53"/>
        <v>15.24</v>
      </c>
      <c r="G847" s="43">
        <f t="shared" si="54"/>
        <v>11031.611647999858</v>
      </c>
      <c r="H847" s="43">
        <f t="shared" si="55"/>
        <v>334.15142565668862</v>
      </c>
      <c r="I847" s="42"/>
    </row>
    <row r="848" spans="1:9" ht="12.75" customHeight="1">
      <c r="A848" s="43">
        <v>200</v>
      </c>
      <c r="B848" s="43">
        <v>6</v>
      </c>
      <c r="C848" s="43">
        <v>1700</v>
      </c>
      <c r="D848" s="43">
        <v>1285</v>
      </c>
      <c r="E848" s="43">
        <f t="shared" si="52"/>
        <v>54.289427401574109</v>
      </c>
      <c r="F848" s="43">
        <f t="shared" si="53"/>
        <v>15.24</v>
      </c>
      <c r="G848" s="43">
        <f t="shared" si="54"/>
        <v>11721.08737599985</v>
      </c>
      <c r="H848" s="43">
        <f t="shared" si="55"/>
        <v>348.80957105511362</v>
      </c>
      <c r="I848" s="42"/>
    </row>
    <row r="849" spans="1:9" ht="12.75" customHeight="1">
      <c r="A849" s="43">
        <v>200</v>
      </c>
      <c r="B849" s="43">
        <v>6</v>
      </c>
      <c r="C849" s="43">
        <v>1800</v>
      </c>
      <c r="D849" s="43">
        <v>1339</v>
      </c>
      <c r="E849" s="43">
        <f t="shared" si="52"/>
        <v>54.289427401574109</v>
      </c>
      <c r="F849" s="43">
        <f t="shared" si="53"/>
        <v>15.24</v>
      </c>
      <c r="G849" s="43">
        <f t="shared" si="54"/>
        <v>12410.563103999841</v>
      </c>
      <c r="H849" s="43">
        <f t="shared" si="55"/>
        <v>363.46771645353863</v>
      </c>
      <c r="I849" s="42"/>
    </row>
    <row r="850" spans="1:9" ht="12.75" customHeight="1">
      <c r="A850" s="43">
        <v>200</v>
      </c>
      <c r="B850" s="43">
        <v>6</v>
      </c>
      <c r="C850" s="43">
        <v>1900</v>
      </c>
      <c r="D850" s="43">
        <v>1393</v>
      </c>
      <c r="E850" s="43">
        <f t="shared" si="52"/>
        <v>54.289427401574109</v>
      </c>
      <c r="F850" s="43">
        <f t="shared" si="53"/>
        <v>15.24</v>
      </c>
      <c r="G850" s="43">
        <f t="shared" si="54"/>
        <v>13100.038831999833</v>
      </c>
      <c r="H850" s="43">
        <f t="shared" si="55"/>
        <v>378.12586185196363</v>
      </c>
      <c r="I850" s="42"/>
    </row>
    <row r="851" spans="1:9" ht="12.75" customHeight="1">
      <c r="A851" s="43">
        <v>200</v>
      </c>
      <c r="B851" s="43">
        <v>6</v>
      </c>
      <c r="C851" s="43">
        <v>2000</v>
      </c>
      <c r="D851" s="43">
        <v>1447</v>
      </c>
      <c r="E851" s="43">
        <f t="shared" si="52"/>
        <v>54.289427401574109</v>
      </c>
      <c r="F851" s="43">
        <f t="shared" si="53"/>
        <v>15.24</v>
      </c>
      <c r="G851" s="43">
        <f t="shared" si="54"/>
        <v>13789.514559999823</v>
      </c>
      <c r="H851" s="43">
        <f t="shared" si="55"/>
        <v>392.78400725038864</v>
      </c>
      <c r="I851" s="42"/>
    </row>
    <row r="852" spans="1:9" ht="12.75" customHeight="1">
      <c r="A852" s="43">
        <v>250</v>
      </c>
      <c r="B852" s="43">
        <v>2</v>
      </c>
      <c r="C852" s="43">
        <v>50</v>
      </c>
      <c r="D852" s="43">
        <v>279</v>
      </c>
      <c r="E852" s="43">
        <f t="shared" si="52"/>
        <v>67.861784251967634</v>
      </c>
      <c r="F852" s="43">
        <f t="shared" si="53"/>
        <v>5.08</v>
      </c>
      <c r="G852" s="43">
        <f t="shared" si="54"/>
        <v>344.73786399999557</v>
      </c>
      <c r="H852" s="43">
        <f t="shared" si="55"/>
        <v>75.733751225195874</v>
      </c>
      <c r="I852" s="42"/>
    </row>
    <row r="853" spans="1:9" ht="12.75" customHeight="1">
      <c r="A853" s="43">
        <v>250</v>
      </c>
      <c r="B853" s="43">
        <v>2</v>
      </c>
      <c r="C853" s="43">
        <v>60</v>
      </c>
      <c r="D853" s="43">
        <v>281</v>
      </c>
      <c r="E853" s="43">
        <f t="shared" si="52"/>
        <v>67.861784251967634</v>
      </c>
      <c r="F853" s="43">
        <f t="shared" si="53"/>
        <v>5.08</v>
      </c>
      <c r="G853" s="43">
        <f t="shared" si="54"/>
        <v>413.6854367999947</v>
      </c>
      <c r="H853" s="43">
        <f t="shared" si="55"/>
        <v>76.276645499211625</v>
      </c>
      <c r="I853" s="42"/>
    </row>
    <row r="854" spans="1:9" ht="12.75" customHeight="1">
      <c r="A854" s="43">
        <v>250</v>
      </c>
      <c r="B854" s="43">
        <v>2</v>
      </c>
      <c r="C854" s="43">
        <v>70</v>
      </c>
      <c r="D854" s="43">
        <v>283</v>
      </c>
      <c r="E854" s="43">
        <f t="shared" si="52"/>
        <v>67.861784251967634</v>
      </c>
      <c r="F854" s="43">
        <f t="shared" si="53"/>
        <v>5.08</v>
      </c>
      <c r="G854" s="43">
        <f t="shared" si="54"/>
        <v>482.63300959999384</v>
      </c>
      <c r="H854" s="43">
        <f t="shared" si="55"/>
        <v>76.819539773227362</v>
      </c>
      <c r="I854" s="42"/>
    </row>
    <row r="855" spans="1:9" ht="12.75" customHeight="1">
      <c r="A855" s="43">
        <v>250</v>
      </c>
      <c r="B855" s="43">
        <v>2</v>
      </c>
      <c r="C855" s="43">
        <v>80</v>
      </c>
      <c r="D855" s="43">
        <v>285</v>
      </c>
      <c r="E855" s="43">
        <f t="shared" si="52"/>
        <v>67.861784251967634</v>
      </c>
      <c r="F855" s="43">
        <f t="shared" si="53"/>
        <v>5.08</v>
      </c>
      <c r="G855" s="43">
        <f t="shared" si="54"/>
        <v>551.58058239999298</v>
      </c>
      <c r="H855" s="43">
        <f t="shared" si="55"/>
        <v>77.362434047243099</v>
      </c>
      <c r="I855" s="42"/>
    </row>
    <row r="856" spans="1:9" ht="12.75" customHeight="1">
      <c r="A856" s="43">
        <v>250</v>
      </c>
      <c r="B856" s="43">
        <v>2</v>
      </c>
      <c r="C856" s="43">
        <v>90</v>
      </c>
      <c r="D856" s="43">
        <v>287</v>
      </c>
      <c r="E856" s="43">
        <f t="shared" si="52"/>
        <v>67.861784251967634</v>
      </c>
      <c r="F856" s="43">
        <f t="shared" si="53"/>
        <v>5.08</v>
      </c>
      <c r="G856" s="43">
        <f t="shared" si="54"/>
        <v>620.52815519999206</v>
      </c>
      <c r="H856" s="43">
        <f t="shared" si="55"/>
        <v>77.905328321258835</v>
      </c>
      <c r="I856" s="42"/>
    </row>
    <row r="857" spans="1:9" ht="12.75" customHeight="1">
      <c r="A857" s="43">
        <v>250</v>
      </c>
      <c r="B857" s="43">
        <v>2</v>
      </c>
      <c r="C857" s="43">
        <v>100</v>
      </c>
      <c r="D857" s="43">
        <v>289</v>
      </c>
      <c r="E857" s="43">
        <f t="shared" si="52"/>
        <v>67.861784251967634</v>
      </c>
      <c r="F857" s="43">
        <f t="shared" si="53"/>
        <v>5.08</v>
      </c>
      <c r="G857" s="43">
        <f t="shared" si="54"/>
        <v>689.47572799999114</v>
      </c>
      <c r="H857" s="43">
        <f t="shared" si="55"/>
        <v>78.448222595274586</v>
      </c>
      <c r="I857" s="42"/>
    </row>
    <row r="858" spans="1:9" ht="12.75" customHeight="1">
      <c r="A858" s="43">
        <v>250</v>
      </c>
      <c r="B858" s="43">
        <v>2</v>
      </c>
      <c r="C858" s="43">
        <v>150</v>
      </c>
      <c r="D858" s="43">
        <v>293.25</v>
      </c>
      <c r="E858" s="43">
        <f t="shared" si="52"/>
        <v>67.861784251967634</v>
      </c>
      <c r="F858" s="43">
        <f t="shared" si="53"/>
        <v>5.08</v>
      </c>
      <c r="G858" s="43">
        <f t="shared" si="54"/>
        <v>1034.2135919999869</v>
      </c>
      <c r="H858" s="43">
        <f t="shared" si="55"/>
        <v>79.601872927558034</v>
      </c>
      <c r="I858" s="42"/>
    </row>
    <row r="859" spans="1:9" ht="12.75" customHeight="1">
      <c r="A859" s="43">
        <v>250</v>
      </c>
      <c r="B859" s="43">
        <v>2</v>
      </c>
      <c r="C859" s="43">
        <v>200</v>
      </c>
      <c r="D859" s="43">
        <v>297.5</v>
      </c>
      <c r="E859" s="43">
        <f t="shared" si="52"/>
        <v>67.861784251967634</v>
      </c>
      <c r="F859" s="43">
        <f t="shared" si="53"/>
        <v>5.08</v>
      </c>
      <c r="G859" s="43">
        <f t="shared" si="54"/>
        <v>1378.9514559999823</v>
      </c>
      <c r="H859" s="43">
        <f t="shared" si="55"/>
        <v>80.755523259841482</v>
      </c>
      <c r="I859" s="42"/>
    </row>
    <row r="860" spans="1:9" ht="12.75" customHeight="1">
      <c r="A860" s="43">
        <v>250</v>
      </c>
      <c r="B860" s="43">
        <v>2</v>
      </c>
      <c r="C860" s="43">
        <v>250</v>
      </c>
      <c r="D860" s="43">
        <v>301.75</v>
      </c>
      <c r="E860" s="43">
        <f t="shared" si="52"/>
        <v>67.861784251967634</v>
      </c>
      <c r="F860" s="43">
        <f t="shared" si="53"/>
        <v>5.08</v>
      </c>
      <c r="G860" s="43">
        <f t="shared" si="54"/>
        <v>1723.6893199999779</v>
      </c>
      <c r="H860" s="43">
        <f t="shared" si="55"/>
        <v>81.909173592124944</v>
      </c>
      <c r="I860" s="42"/>
    </row>
    <row r="861" spans="1:9" ht="12.75" customHeight="1">
      <c r="A861" s="43">
        <v>250</v>
      </c>
      <c r="B861" s="43">
        <v>2</v>
      </c>
      <c r="C861" s="43">
        <v>300</v>
      </c>
      <c r="D861" s="43">
        <v>306</v>
      </c>
      <c r="E861" s="43">
        <f t="shared" si="52"/>
        <v>67.861784251967634</v>
      </c>
      <c r="F861" s="43">
        <f t="shared" si="53"/>
        <v>5.08</v>
      </c>
      <c r="G861" s="43">
        <f t="shared" si="54"/>
        <v>2068.4271839999737</v>
      </c>
      <c r="H861" s="43">
        <f t="shared" si="55"/>
        <v>83.062823924408377</v>
      </c>
      <c r="I861" s="42"/>
    </row>
    <row r="862" spans="1:9" ht="12.75" customHeight="1">
      <c r="A862" s="43">
        <v>250</v>
      </c>
      <c r="B862" s="43">
        <v>2</v>
      </c>
      <c r="C862" s="43">
        <v>350</v>
      </c>
      <c r="D862" s="43">
        <v>309.5</v>
      </c>
      <c r="E862" s="43">
        <f t="shared" si="52"/>
        <v>67.861784251967634</v>
      </c>
      <c r="F862" s="43">
        <f t="shared" si="53"/>
        <v>5.08</v>
      </c>
      <c r="G862" s="43">
        <f t="shared" si="54"/>
        <v>2413.1650479999689</v>
      </c>
      <c r="H862" s="43">
        <f t="shared" si="55"/>
        <v>84.012888903935931</v>
      </c>
      <c r="I862" s="42"/>
    </row>
    <row r="863" spans="1:9" ht="12.75" customHeight="1">
      <c r="A863" s="43">
        <v>250</v>
      </c>
      <c r="B863" s="43">
        <v>2</v>
      </c>
      <c r="C863" s="43">
        <v>400</v>
      </c>
      <c r="D863" s="43">
        <v>313</v>
      </c>
      <c r="E863" s="43">
        <f t="shared" si="52"/>
        <v>67.861784251967634</v>
      </c>
      <c r="F863" s="43">
        <f t="shared" si="53"/>
        <v>5.08</v>
      </c>
      <c r="G863" s="43">
        <f t="shared" si="54"/>
        <v>2757.9029119999645</v>
      </c>
      <c r="H863" s="43">
        <f t="shared" si="55"/>
        <v>84.962953883463484</v>
      </c>
      <c r="I863" s="42"/>
    </row>
    <row r="864" spans="1:9" ht="12.75" customHeight="1">
      <c r="A864" s="43">
        <v>250</v>
      </c>
      <c r="B864" s="43">
        <v>2</v>
      </c>
      <c r="C864" s="43">
        <v>450</v>
      </c>
      <c r="D864" s="43">
        <v>316.5</v>
      </c>
      <c r="E864" s="43">
        <f t="shared" si="52"/>
        <v>67.861784251967634</v>
      </c>
      <c r="F864" s="43">
        <f t="shared" si="53"/>
        <v>5.08</v>
      </c>
      <c r="G864" s="43">
        <f t="shared" si="54"/>
        <v>3102.6407759999602</v>
      </c>
      <c r="H864" s="43">
        <f t="shared" si="55"/>
        <v>85.913018862991009</v>
      </c>
      <c r="I864" s="42"/>
    </row>
    <row r="865" spans="1:9" ht="12.75" customHeight="1">
      <c r="A865" s="43">
        <v>250</v>
      </c>
      <c r="B865" s="43">
        <v>2</v>
      </c>
      <c r="C865" s="43">
        <v>500</v>
      </c>
      <c r="D865" s="43">
        <v>320</v>
      </c>
      <c r="E865" s="43">
        <f t="shared" si="52"/>
        <v>67.861784251967634</v>
      </c>
      <c r="F865" s="43">
        <f t="shared" si="53"/>
        <v>5.08</v>
      </c>
      <c r="G865" s="43">
        <f t="shared" si="54"/>
        <v>3447.3786399999558</v>
      </c>
      <c r="H865" s="43">
        <f t="shared" si="55"/>
        <v>86.863083842518563</v>
      </c>
      <c r="I865" s="42"/>
    </row>
    <row r="866" spans="1:9" ht="12.75" customHeight="1">
      <c r="A866" s="43">
        <v>250</v>
      </c>
      <c r="B866" s="43">
        <v>2</v>
      </c>
      <c r="C866" s="43">
        <v>550</v>
      </c>
      <c r="D866" s="43">
        <v>322.89999999999998</v>
      </c>
      <c r="E866" s="43">
        <f t="shared" si="52"/>
        <v>67.861784251967634</v>
      </c>
      <c r="F866" s="43">
        <f t="shared" si="53"/>
        <v>5.08</v>
      </c>
      <c r="G866" s="43">
        <f t="shared" si="54"/>
        <v>3792.1165039999514</v>
      </c>
      <c r="H866" s="43">
        <f t="shared" si="55"/>
        <v>87.65028053984139</v>
      </c>
      <c r="I866" s="42"/>
    </row>
    <row r="867" spans="1:9" ht="12.75" customHeight="1">
      <c r="A867" s="43">
        <v>250</v>
      </c>
      <c r="B867" s="43">
        <v>2</v>
      </c>
      <c r="C867" s="43">
        <v>600</v>
      </c>
      <c r="D867" s="43">
        <v>325.79999999999995</v>
      </c>
      <c r="E867" s="43">
        <f t="shared" si="52"/>
        <v>67.861784251967634</v>
      </c>
      <c r="F867" s="43">
        <f t="shared" si="53"/>
        <v>5.08</v>
      </c>
      <c r="G867" s="43">
        <f t="shared" si="54"/>
        <v>4136.8543679999475</v>
      </c>
      <c r="H867" s="43">
        <f t="shared" si="55"/>
        <v>88.437477237164217</v>
      </c>
      <c r="I867" s="42"/>
    </row>
    <row r="868" spans="1:9" ht="12.75" customHeight="1">
      <c r="A868" s="43">
        <v>250</v>
      </c>
      <c r="B868" s="43">
        <v>2</v>
      </c>
      <c r="C868" s="43">
        <v>650</v>
      </c>
      <c r="D868" s="43">
        <v>328.69999999999993</v>
      </c>
      <c r="E868" s="43">
        <f t="shared" si="52"/>
        <v>67.861784251967634</v>
      </c>
      <c r="F868" s="43">
        <f t="shared" si="53"/>
        <v>5.08</v>
      </c>
      <c r="G868" s="43">
        <f t="shared" si="54"/>
        <v>4481.5922319999427</v>
      </c>
      <c r="H868" s="43">
        <f t="shared" si="55"/>
        <v>89.224673934487029</v>
      </c>
      <c r="I868" s="42"/>
    </row>
    <row r="869" spans="1:9" ht="12.75" customHeight="1">
      <c r="A869" s="43">
        <v>250</v>
      </c>
      <c r="B869" s="43">
        <v>2</v>
      </c>
      <c r="C869" s="43">
        <v>700</v>
      </c>
      <c r="D869" s="43">
        <v>331.59999999999991</v>
      </c>
      <c r="E869" s="43">
        <f t="shared" si="52"/>
        <v>67.861784251967634</v>
      </c>
      <c r="F869" s="43">
        <f t="shared" si="53"/>
        <v>5.08</v>
      </c>
      <c r="G869" s="43">
        <f t="shared" si="54"/>
        <v>4826.3300959999378</v>
      </c>
      <c r="H869" s="43">
        <f t="shared" si="55"/>
        <v>90.011870631809842</v>
      </c>
      <c r="I869" s="42"/>
    </row>
    <row r="870" spans="1:9" ht="12.75" customHeight="1">
      <c r="A870" s="43">
        <v>250</v>
      </c>
      <c r="B870" s="43">
        <v>2</v>
      </c>
      <c r="C870" s="43">
        <v>750</v>
      </c>
      <c r="D870" s="43">
        <v>334.49999999999989</v>
      </c>
      <c r="E870" s="43">
        <f t="shared" si="52"/>
        <v>67.861784251967634</v>
      </c>
      <c r="F870" s="43">
        <f t="shared" si="53"/>
        <v>5.08</v>
      </c>
      <c r="G870" s="43">
        <f t="shared" si="54"/>
        <v>5171.0679599999339</v>
      </c>
      <c r="H870" s="43">
        <f t="shared" si="55"/>
        <v>90.799067329132654</v>
      </c>
      <c r="I870" s="42"/>
    </row>
    <row r="871" spans="1:9" ht="12.75" customHeight="1">
      <c r="A871" s="43">
        <v>250</v>
      </c>
      <c r="B871" s="43">
        <v>2</v>
      </c>
      <c r="C871" s="43">
        <v>800</v>
      </c>
      <c r="D871" s="43">
        <v>337.39999999999986</v>
      </c>
      <c r="E871" s="43">
        <f t="shared" si="52"/>
        <v>67.861784251967634</v>
      </c>
      <c r="F871" s="43">
        <f t="shared" si="53"/>
        <v>5.08</v>
      </c>
      <c r="G871" s="43">
        <f t="shared" si="54"/>
        <v>5515.8058239999291</v>
      </c>
      <c r="H871" s="43">
        <f t="shared" si="55"/>
        <v>91.586264026455467</v>
      </c>
      <c r="I871" s="42"/>
    </row>
    <row r="872" spans="1:9" ht="12.75" customHeight="1">
      <c r="A872" s="43">
        <v>250</v>
      </c>
      <c r="B872" s="43">
        <v>2</v>
      </c>
      <c r="C872" s="43">
        <v>850</v>
      </c>
      <c r="D872" s="43">
        <v>340.29999999999984</v>
      </c>
      <c r="E872" s="43">
        <f t="shared" si="52"/>
        <v>67.861784251967634</v>
      </c>
      <c r="F872" s="43">
        <f t="shared" si="53"/>
        <v>5.08</v>
      </c>
      <c r="G872" s="43">
        <f t="shared" si="54"/>
        <v>5860.5436879999252</v>
      </c>
      <c r="H872" s="43">
        <f t="shared" si="55"/>
        <v>92.373460723778308</v>
      </c>
      <c r="I872" s="42"/>
    </row>
    <row r="873" spans="1:9" ht="12.75" customHeight="1">
      <c r="A873" s="43">
        <v>250</v>
      </c>
      <c r="B873" s="43">
        <v>2</v>
      </c>
      <c r="C873" s="43">
        <v>900</v>
      </c>
      <c r="D873" s="43">
        <v>343.19999999999982</v>
      </c>
      <c r="E873" s="43">
        <f t="shared" si="52"/>
        <v>67.861784251967634</v>
      </c>
      <c r="F873" s="43">
        <f t="shared" si="53"/>
        <v>5.08</v>
      </c>
      <c r="G873" s="43">
        <f t="shared" si="54"/>
        <v>6205.2815519999203</v>
      </c>
      <c r="H873" s="43">
        <f t="shared" si="55"/>
        <v>93.160657421101121</v>
      </c>
      <c r="I873" s="42"/>
    </row>
    <row r="874" spans="1:9" ht="12.75" customHeight="1">
      <c r="A874" s="43">
        <v>250</v>
      </c>
      <c r="B874" s="43">
        <v>2</v>
      </c>
      <c r="C874" s="43">
        <v>950</v>
      </c>
      <c r="D874" s="43">
        <v>346.0999999999998</v>
      </c>
      <c r="E874" s="43">
        <f t="shared" si="52"/>
        <v>67.861784251967634</v>
      </c>
      <c r="F874" s="43">
        <f t="shared" si="53"/>
        <v>5.08</v>
      </c>
      <c r="G874" s="43">
        <f t="shared" si="54"/>
        <v>6550.0194159999164</v>
      </c>
      <c r="H874" s="43">
        <f t="shared" si="55"/>
        <v>93.947854118423933</v>
      </c>
      <c r="I874" s="42"/>
    </row>
    <row r="875" spans="1:9" ht="12.75" customHeight="1">
      <c r="A875" s="43">
        <v>250</v>
      </c>
      <c r="B875" s="43">
        <v>2</v>
      </c>
      <c r="C875" s="43">
        <v>1000</v>
      </c>
      <c r="D875" s="43">
        <v>349</v>
      </c>
      <c r="E875" s="43">
        <f t="shared" si="52"/>
        <v>67.861784251967634</v>
      </c>
      <c r="F875" s="43">
        <f t="shared" si="53"/>
        <v>5.08</v>
      </c>
      <c r="G875" s="43">
        <f t="shared" si="54"/>
        <v>6894.7572799999116</v>
      </c>
      <c r="H875" s="43">
        <f t="shared" si="55"/>
        <v>94.735050815746817</v>
      </c>
      <c r="I875" s="42"/>
    </row>
    <row r="876" spans="1:9" ht="12.75" customHeight="1">
      <c r="A876" s="43">
        <v>250</v>
      </c>
      <c r="B876" s="43">
        <v>2</v>
      </c>
      <c r="C876" s="43">
        <v>1100</v>
      </c>
      <c r="D876" s="43">
        <v>353.9</v>
      </c>
      <c r="E876" s="43">
        <f t="shared" si="52"/>
        <v>67.861784251967634</v>
      </c>
      <c r="F876" s="43">
        <f t="shared" si="53"/>
        <v>5.08</v>
      </c>
      <c r="G876" s="43">
        <f t="shared" si="54"/>
        <v>7584.2330079999028</v>
      </c>
      <c r="H876" s="43">
        <f t="shared" si="55"/>
        <v>96.065141787085381</v>
      </c>
      <c r="I876" s="42"/>
    </row>
    <row r="877" spans="1:9" ht="12.75" customHeight="1">
      <c r="A877" s="43">
        <v>250</v>
      </c>
      <c r="B877" s="43">
        <v>2</v>
      </c>
      <c r="C877" s="43">
        <v>1200</v>
      </c>
      <c r="D877" s="43">
        <v>358.79999999999995</v>
      </c>
      <c r="E877" s="43">
        <f t="shared" si="52"/>
        <v>67.861784251967634</v>
      </c>
      <c r="F877" s="43">
        <f t="shared" si="53"/>
        <v>5.08</v>
      </c>
      <c r="G877" s="43">
        <f t="shared" si="54"/>
        <v>8273.708735999895</v>
      </c>
      <c r="H877" s="43">
        <f t="shared" si="55"/>
        <v>97.39523275842393</v>
      </c>
      <c r="I877" s="42"/>
    </row>
    <row r="878" spans="1:9" ht="12.75" customHeight="1">
      <c r="A878" s="43">
        <v>250</v>
      </c>
      <c r="B878" s="43">
        <v>2</v>
      </c>
      <c r="C878" s="43">
        <v>1300</v>
      </c>
      <c r="D878" s="43">
        <v>363.69999999999993</v>
      </c>
      <c r="E878" s="43">
        <f t="shared" si="52"/>
        <v>67.861784251967634</v>
      </c>
      <c r="F878" s="43">
        <f t="shared" si="53"/>
        <v>5.08</v>
      </c>
      <c r="G878" s="43">
        <f t="shared" si="54"/>
        <v>8963.1844639998853</v>
      </c>
      <c r="H878" s="43">
        <f t="shared" si="55"/>
        <v>98.725323729762493</v>
      </c>
      <c r="I878" s="42"/>
    </row>
    <row r="879" spans="1:9" ht="12.75" customHeight="1">
      <c r="A879" s="43">
        <v>250</v>
      </c>
      <c r="B879" s="43">
        <v>2</v>
      </c>
      <c r="C879" s="43">
        <v>1400</v>
      </c>
      <c r="D879" s="43">
        <v>368.59999999999991</v>
      </c>
      <c r="E879" s="43">
        <f t="shared" si="52"/>
        <v>67.861784251967634</v>
      </c>
      <c r="F879" s="43">
        <f t="shared" si="53"/>
        <v>5.08</v>
      </c>
      <c r="G879" s="43">
        <f t="shared" si="54"/>
        <v>9652.6601919998757</v>
      </c>
      <c r="H879" s="43">
        <f t="shared" si="55"/>
        <v>100.05541470110106</v>
      </c>
      <c r="I879" s="42"/>
    </row>
    <row r="880" spans="1:9" ht="12.75" customHeight="1">
      <c r="A880" s="43">
        <v>250</v>
      </c>
      <c r="B880" s="43">
        <v>2</v>
      </c>
      <c r="C880" s="43">
        <v>1500</v>
      </c>
      <c r="D880" s="43">
        <v>373.49999999999989</v>
      </c>
      <c r="E880" s="43">
        <f t="shared" si="52"/>
        <v>67.861784251967634</v>
      </c>
      <c r="F880" s="43">
        <f t="shared" si="53"/>
        <v>5.08</v>
      </c>
      <c r="G880" s="43">
        <f t="shared" si="54"/>
        <v>10342.135919999868</v>
      </c>
      <c r="H880" s="43">
        <f t="shared" si="55"/>
        <v>101.38550567243962</v>
      </c>
      <c r="I880" s="42"/>
    </row>
    <row r="881" spans="1:9" ht="12.75" customHeight="1">
      <c r="A881" s="43">
        <v>250</v>
      </c>
      <c r="B881" s="43">
        <v>2</v>
      </c>
      <c r="C881" s="43">
        <v>1600</v>
      </c>
      <c r="D881" s="43">
        <v>378.39999999999986</v>
      </c>
      <c r="E881" s="43">
        <f t="shared" si="52"/>
        <v>67.861784251967634</v>
      </c>
      <c r="F881" s="43">
        <f t="shared" si="53"/>
        <v>5.08</v>
      </c>
      <c r="G881" s="43">
        <f t="shared" si="54"/>
        <v>11031.611647999858</v>
      </c>
      <c r="H881" s="43">
        <f t="shared" si="55"/>
        <v>102.71559664377818</v>
      </c>
      <c r="I881" s="42"/>
    </row>
    <row r="882" spans="1:9" ht="12.75" customHeight="1">
      <c r="A882" s="43">
        <v>250</v>
      </c>
      <c r="B882" s="43">
        <v>2</v>
      </c>
      <c r="C882" s="43">
        <v>1700</v>
      </c>
      <c r="D882" s="43">
        <v>383.29999999999984</v>
      </c>
      <c r="E882" s="43">
        <f t="shared" si="52"/>
        <v>67.861784251967634</v>
      </c>
      <c r="F882" s="43">
        <f t="shared" si="53"/>
        <v>5.08</v>
      </c>
      <c r="G882" s="43">
        <f t="shared" si="54"/>
        <v>11721.08737599985</v>
      </c>
      <c r="H882" s="43">
        <f t="shared" si="55"/>
        <v>104.04568761511672</v>
      </c>
      <c r="I882" s="42"/>
    </row>
    <row r="883" spans="1:9" ht="12.75" customHeight="1">
      <c r="A883" s="43">
        <v>250</v>
      </c>
      <c r="B883" s="43">
        <v>2</v>
      </c>
      <c r="C883" s="43">
        <v>1800</v>
      </c>
      <c r="D883" s="43">
        <v>388.19999999999982</v>
      </c>
      <c r="E883" s="43">
        <f t="shared" si="52"/>
        <v>67.861784251967634</v>
      </c>
      <c r="F883" s="43">
        <f t="shared" si="53"/>
        <v>5.08</v>
      </c>
      <c r="G883" s="43">
        <f t="shared" si="54"/>
        <v>12410.563103999841</v>
      </c>
      <c r="H883" s="43">
        <f t="shared" si="55"/>
        <v>105.37577858645528</v>
      </c>
      <c r="I883" s="42"/>
    </row>
    <row r="884" spans="1:9" ht="12.75" customHeight="1">
      <c r="A884" s="43">
        <v>250</v>
      </c>
      <c r="B884" s="43">
        <v>2</v>
      </c>
      <c r="C884" s="43">
        <v>1900</v>
      </c>
      <c r="D884" s="43">
        <v>393.0999999999998</v>
      </c>
      <c r="E884" s="43">
        <f t="shared" si="52"/>
        <v>67.861784251967634</v>
      </c>
      <c r="F884" s="43">
        <f t="shared" si="53"/>
        <v>5.08</v>
      </c>
      <c r="G884" s="43">
        <f t="shared" si="54"/>
        <v>13100.038831999833</v>
      </c>
      <c r="H884" s="43">
        <f t="shared" si="55"/>
        <v>106.70586955779385</v>
      </c>
      <c r="I884" s="42"/>
    </row>
    <row r="885" spans="1:9" ht="12.75" customHeight="1">
      <c r="A885" s="43">
        <v>250</v>
      </c>
      <c r="B885" s="43">
        <v>2</v>
      </c>
      <c r="C885" s="43">
        <v>2000</v>
      </c>
      <c r="D885" s="43">
        <v>398</v>
      </c>
      <c r="E885" s="43">
        <f t="shared" si="52"/>
        <v>67.861784251967634</v>
      </c>
      <c r="F885" s="43">
        <f t="shared" si="53"/>
        <v>5.08</v>
      </c>
      <c r="G885" s="43">
        <f t="shared" si="54"/>
        <v>13789.514559999823</v>
      </c>
      <c r="H885" s="43">
        <f t="shared" si="55"/>
        <v>108.03596052913247</v>
      </c>
      <c r="I885" s="42"/>
    </row>
    <row r="886" spans="1:9" ht="12.75" customHeight="1">
      <c r="A886" s="43">
        <v>250</v>
      </c>
      <c r="B886" s="43">
        <v>3</v>
      </c>
      <c r="C886" s="43">
        <v>50</v>
      </c>
      <c r="D886" s="43">
        <v>288</v>
      </c>
      <c r="E886" s="43">
        <f t="shared" si="52"/>
        <v>67.861784251967634</v>
      </c>
      <c r="F886" s="43">
        <f t="shared" si="53"/>
        <v>7.62</v>
      </c>
      <c r="G886" s="43">
        <f t="shared" si="54"/>
        <v>344.73786399999557</v>
      </c>
      <c r="H886" s="43">
        <f t="shared" si="55"/>
        <v>78.176775458266718</v>
      </c>
      <c r="I886" s="42"/>
    </row>
    <row r="887" spans="1:9" ht="12.75" customHeight="1">
      <c r="A887" s="43">
        <v>250</v>
      </c>
      <c r="B887" s="43">
        <v>3</v>
      </c>
      <c r="C887" s="43">
        <v>60</v>
      </c>
      <c r="D887" s="43">
        <v>291.2</v>
      </c>
      <c r="E887" s="43">
        <f t="shared" si="52"/>
        <v>67.861784251967634</v>
      </c>
      <c r="F887" s="43">
        <f t="shared" si="53"/>
        <v>7.62</v>
      </c>
      <c r="G887" s="43">
        <f t="shared" si="54"/>
        <v>413.6854367999947</v>
      </c>
      <c r="H887" s="43">
        <f t="shared" si="55"/>
        <v>79.04540629669188</v>
      </c>
      <c r="I887" s="42"/>
    </row>
    <row r="888" spans="1:9" ht="12.75" customHeight="1">
      <c r="A888" s="43">
        <v>250</v>
      </c>
      <c r="B888" s="43">
        <v>3</v>
      </c>
      <c r="C888" s="43">
        <v>70</v>
      </c>
      <c r="D888" s="43">
        <v>294.39999999999998</v>
      </c>
      <c r="E888" s="43">
        <f t="shared" si="52"/>
        <v>67.861784251967634</v>
      </c>
      <c r="F888" s="43">
        <f t="shared" si="53"/>
        <v>7.62</v>
      </c>
      <c r="G888" s="43">
        <f t="shared" si="54"/>
        <v>482.63300959999384</v>
      </c>
      <c r="H888" s="43">
        <f t="shared" si="55"/>
        <v>79.914037135117084</v>
      </c>
      <c r="I888" s="42"/>
    </row>
    <row r="889" spans="1:9" ht="12.75" customHeight="1">
      <c r="A889" s="43">
        <v>250</v>
      </c>
      <c r="B889" s="43">
        <v>3</v>
      </c>
      <c r="C889" s="43">
        <v>80</v>
      </c>
      <c r="D889" s="43">
        <v>297.59999999999997</v>
      </c>
      <c r="E889" s="43">
        <f t="shared" si="52"/>
        <v>67.861784251967634</v>
      </c>
      <c r="F889" s="43">
        <f t="shared" si="53"/>
        <v>7.62</v>
      </c>
      <c r="G889" s="43">
        <f t="shared" si="54"/>
        <v>551.58058239999298</v>
      </c>
      <c r="H889" s="43">
        <f t="shared" si="55"/>
        <v>80.782667973542274</v>
      </c>
      <c r="I889" s="42"/>
    </row>
    <row r="890" spans="1:9" ht="12.75" customHeight="1">
      <c r="A890" s="43">
        <v>250</v>
      </c>
      <c r="B890" s="43">
        <v>3</v>
      </c>
      <c r="C890" s="43">
        <v>90</v>
      </c>
      <c r="D890" s="43">
        <v>300.79999999999995</v>
      </c>
      <c r="E890" s="43">
        <f t="shared" si="52"/>
        <v>67.861784251967634</v>
      </c>
      <c r="F890" s="43">
        <f t="shared" si="53"/>
        <v>7.62</v>
      </c>
      <c r="G890" s="43">
        <f t="shared" si="54"/>
        <v>620.52815519999206</v>
      </c>
      <c r="H890" s="43">
        <f t="shared" si="55"/>
        <v>81.65129881196745</v>
      </c>
      <c r="I890" s="42"/>
    </row>
    <row r="891" spans="1:9" ht="12.75" customHeight="1">
      <c r="A891" s="43">
        <v>250</v>
      </c>
      <c r="B891" s="43">
        <v>3</v>
      </c>
      <c r="C891" s="43">
        <v>100</v>
      </c>
      <c r="D891" s="43">
        <v>304</v>
      </c>
      <c r="E891" s="43">
        <f t="shared" si="52"/>
        <v>67.861784251967634</v>
      </c>
      <c r="F891" s="43">
        <f t="shared" si="53"/>
        <v>7.62</v>
      </c>
      <c r="G891" s="43">
        <f t="shared" si="54"/>
        <v>689.47572799999114</v>
      </c>
      <c r="H891" s="43">
        <f t="shared" si="55"/>
        <v>82.51992965039264</v>
      </c>
      <c r="I891" s="42"/>
    </row>
    <row r="892" spans="1:9" ht="12.75" customHeight="1">
      <c r="A892" s="43">
        <v>250</v>
      </c>
      <c r="B892" s="43">
        <v>3</v>
      </c>
      <c r="C892" s="43">
        <v>150</v>
      </c>
      <c r="D892" s="43">
        <v>313.25</v>
      </c>
      <c r="E892" s="43">
        <f t="shared" si="52"/>
        <v>67.861784251967634</v>
      </c>
      <c r="F892" s="43">
        <f t="shared" si="53"/>
        <v>7.62</v>
      </c>
      <c r="G892" s="43">
        <f t="shared" si="54"/>
        <v>1034.2135919999869</v>
      </c>
      <c r="H892" s="43">
        <f t="shared" si="55"/>
        <v>85.030815667715444</v>
      </c>
      <c r="I892" s="42"/>
    </row>
    <row r="893" spans="1:9" ht="12.75" customHeight="1">
      <c r="A893" s="43">
        <v>250</v>
      </c>
      <c r="B893" s="43">
        <v>3</v>
      </c>
      <c r="C893" s="43">
        <v>200</v>
      </c>
      <c r="D893" s="43">
        <v>322.5</v>
      </c>
      <c r="E893" s="43">
        <f t="shared" si="52"/>
        <v>67.861784251967634</v>
      </c>
      <c r="F893" s="43">
        <f t="shared" si="53"/>
        <v>7.62</v>
      </c>
      <c r="G893" s="43">
        <f t="shared" si="54"/>
        <v>1378.9514559999823</v>
      </c>
      <c r="H893" s="43">
        <f t="shared" si="55"/>
        <v>87.541701685038234</v>
      </c>
      <c r="I893" s="42"/>
    </row>
    <row r="894" spans="1:9" ht="12.75" customHeight="1">
      <c r="A894" s="43">
        <v>250</v>
      </c>
      <c r="B894" s="43">
        <v>3</v>
      </c>
      <c r="C894" s="43">
        <v>250</v>
      </c>
      <c r="D894" s="43">
        <v>331.75</v>
      </c>
      <c r="E894" s="43">
        <f t="shared" si="52"/>
        <v>67.861784251967634</v>
      </c>
      <c r="F894" s="43">
        <f t="shared" si="53"/>
        <v>7.62</v>
      </c>
      <c r="G894" s="43">
        <f t="shared" si="54"/>
        <v>1723.6893199999779</v>
      </c>
      <c r="H894" s="43">
        <f t="shared" si="55"/>
        <v>90.052587702361052</v>
      </c>
      <c r="I894" s="42"/>
    </row>
    <row r="895" spans="1:9" ht="12.75" customHeight="1">
      <c r="A895" s="43">
        <v>250</v>
      </c>
      <c r="B895" s="43">
        <v>3</v>
      </c>
      <c r="C895" s="43">
        <v>300</v>
      </c>
      <c r="D895" s="43">
        <v>341</v>
      </c>
      <c r="E895" s="43">
        <f t="shared" si="52"/>
        <v>67.861784251967634</v>
      </c>
      <c r="F895" s="43">
        <f t="shared" si="53"/>
        <v>7.62</v>
      </c>
      <c r="G895" s="43">
        <f t="shared" si="54"/>
        <v>2068.4271839999737</v>
      </c>
      <c r="H895" s="43">
        <f t="shared" si="55"/>
        <v>92.563473719683842</v>
      </c>
      <c r="I895" s="42"/>
    </row>
    <row r="896" spans="1:9" ht="12.75" customHeight="1">
      <c r="A896" s="43">
        <v>250</v>
      </c>
      <c r="B896" s="43">
        <v>3</v>
      </c>
      <c r="C896" s="43">
        <v>350</v>
      </c>
      <c r="D896" s="43">
        <v>348.5</v>
      </c>
      <c r="E896" s="43">
        <f t="shared" si="52"/>
        <v>67.861784251967634</v>
      </c>
      <c r="F896" s="43">
        <f t="shared" si="53"/>
        <v>7.62</v>
      </c>
      <c r="G896" s="43">
        <f t="shared" si="54"/>
        <v>2413.1650479999689</v>
      </c>
      <c r="H896" s="43">
        <f t="shared" si="55"/>
        <v>94.599327247242869</v>
      </c>
      <c r="I896" s="42"/>
    </row>
    <row r="897" spans="1:9" ht="12.75" customHeight="1">
      <c r="A897" s="43">
        <v>250</v>
      </c>
      <c r="B897" s="43">
        <v>3</v>
      </c>
      <c r="C897" s="43">
        <v>400</v>
      </c>
      <c r="D897" s="43">
        <v>356</v>
      </c>
      <c r="E897" s="43">
        <f t="shared" si="52"/>
        <v>67.861784251967634</v>
      </c>
      <c r="F897" s="43">
        <f t="shared" si="53"/>
        <v>7.62</v>
      </c>
      <c r="G897" s="43">
        <f t="shared" si="54"/>
        <v>2757.9029119999645</v>
      </c>
      <c r="H897" s="43">
        <f t="shared" si="55"/>
        <v>96.635180774801896</v>
      </c>
      <c r="I897" s="42"/>
    </row>
    <row r="898" spans="1:9" ht="12.75" customHeight="1">
      <c r="A898" s="43">
        <v>250</v>
      </c>
      <c r="B898" s="43">
        <v>3</v>
      </c>
      <c r="C898" s="43">
        <v>450</v>
      </c>
      <c r="D898" s="43">
        <v>363.5</v>
      </c>
      <c r="E898" s="43">
        <f t="shared" si="52"/>
        <v>67.861784251967634</v>
      </c>
      <c r="F898" s="43">
        <f t="shared" si="53"/>
        <v>7.62</v>
      </c>
      <c r="G898" s="43">
        <f t="shared" si="54"/>
        <v>3102.6407759999602</v>
      </c>
      <c r="H898" s="43">
        <f t="shared" si="55"/>
        <v>98.671034302360937</v>
      </c>
      <c r="I898" s="42"/>
    </row>
    <row r="899" spans="1:9" ht="12.75" customHeight="1">
      <c r="A899" s="43">
        <v>250</v>
      </c>
      <c r="B899" s="43">
        <v>3</v>
      </c>
      <c r="C899" s="43">
        <v>500</v>
      </c>
      <c r="D899" s="43">
        <v>371</v>
      </c>
      <c r="E899" s="43">
        <f t="shared" ref="E899:E962" si="56">A899/145.03773800722/0.0254</f>
        <v>67.861784251967634</v>
      </c>
      <c r="F899" s="43">
        <f t="shared" ref="F899:F962" si="57">B899*2.54</f>
        <v>7.62</v>
      </c>
      <c r="G899" s="43">
        <f t="shared" ref="G899:G962" si="58">C899/0.14503773800722</f>
        <v>3447.3786399999558</v>
      </c>
      <c r="H899" s="43">
        <f t="shared" ref="H899:H962" si="59">D899/145.03773800722/0.0254</f>
        <v>100.70688782991996</v>
      </c>
      <c r="I899" s="42"/>
    </row>
    <row r="900" spans="1:9" ht="12.75" customHeight="1">
      <c r="A900" s="43">
        <v>250</v>
      </c>
      <c r="B900" s="43">
        <v>3</v>
      </c>
      <c r="C900" s="43">
        <v>550</v>
      </c>
      <c r="D900" s="43">
        <v>377.9</v>
      </c>
      <c r="E900" s="43">
        <f t="shared" si="56"/>
        <v>67.861784251967634</v>
      </c>
      <c r="F900" s="43">
        <f t="shared" si="57"/>
        <v>7.62</v>
      </c>
      <c r="G900" s="43">
        <f t="shared" si="58"/>
        <v>3792.1165039999514</v>
      </c>
      <c r="H900" s="43">
        <f t="shared" si="59"/>
        <v>102.57987307527426</v>
      </c>
      <c r="I900" s="42"/>
    </row>
    <row r="901" spans="1:9" ht="12.75" customHeight="1">
      <c r="A901" s="43">
        <v>250</v>
      </c>
      <c r="B901" s="43">
        <v>3</v>
      </c>
      <c r="C901" s="43">
        <v>600</v>
      </c>
      <c r="D901" s="43">
        <v>384.79999999999995</v>
      </c>
      <c r="E901" s="43">
        <f t="shared" si="56"/>
        <v>67.861784251967634</v>
      </c>
      <c r="F901" s="43">
        <f t="shared" si="57"/>
        <v>7.62</v>
      </c>
      <c r="G901" s="43">
        <f t="shared" si="58"/>
        <v>4136.8543679999475</v>
      </c>
      <c r="H901" s="43">
        <f t="shared" si="59"/>
        <v>104.45285832062856</v>
      </c>
      <c r="I901" s="42"/>
    </row>
    <row r="902" spans="1:9" ht="12.75" customHeight="1">
      <c r="A902" s="43">
        <v>250</v>
      </c>
      <c r="B902" s="43">
        <v>3</v>
      </c>
      <c r="C902" s="43">
        <v>650</v>
      </c>
      <c r="D902" s="43">
        <v>391.69999999999993</v>
      </c>
      <c r="E902" s="43">
        <f t="shared" si="56"/>
        <v>67.861784251967634</v>
      </c>
      <c r="F902" s="43">
        <f t="shared" si="57"/>
        <v>7.62</v>
      </c>
      <c r="G902" s="43">
        <f t="shared" si="58"/>
        <v>4481.5922319999427</v>
      </c>
      <c r="H902" s="43">
        <f t="shared" si="59"/>
        <v>106.32584356598288</v>
      </c>
      <c r="I902" s="42"/>
    </row>
    <row r="903" spans="1:9" ht="12.75" customHeight="1">
      <c r="A903" s="43">
        <v>250</v>
      </c>
      <c r="B903" s="43">
        <v>3</v>
      </c>
      <c r="C903" s="43">
        <v>700</v>
      </c>
      <c r="D903" s="43">
        <v>398.59999999999991</v>
      </c>
      <c r="E903" s="43">
        <f t="shared" si="56"/>
        <v>67.861784251967634</v>
      </c>
      <c r="F903" s="43">
        <f t="shared" si="57"/>
        <v>7.62</v>
      </c>
      <c r="G903" s="43">
        <f t="shared" si="58"/>
        <v>4826.3300959999378</v>
      </c>
      <c r="H903" s="43">
        <f t="shared" si="59"/>
        <v>108.19882881133717</v>
      </c>
      <c r="I903" s="42"/>
    </row>
    <row r="904" spans="1:9" ht="12.75" customHeight="1">
      <c r="A904" s="43">
        <v>250</v>
      </c>
      <c r="B904" s="43">
        <v>3</v>
      </c>
      <c r="C904" s="43">
        <v>750</v>
      </c>
      <c r="D904" s="43">
        <v>405.49999999999989</v>
      </c>
      <c r="E904" s="43">
        <f t="shared" si="56"/>
        <v>67.861784251967634</v>
      </c>
      <c r="F904" s="43">
        <f t="shared" si="57"/>
        <v>7.62</v>
      </c>
      <c r="G904" s="43">
        <f t="shared" si="58"/>
        <v>5171.0679599999339</v>
      </c>
      <c r="H904" s="43">
        <f t="shared" si="59"/>
        <v>110.07181405669148</v>
      </c>
      <c r="I904" s="42"/>
    </row>
    <row r="905" spans="1:9" ht="12.75" customHeight="1">
      <c r="A905" s="43">
        <v>250</v>
      </c>
      <c r="B905" s="43">
        <v>3</v>
      </c>
      <c r="C905" s="43">
        <v>800</v>
      </c>
      <c r="D905" s="43">
        <v>412.39999999999986</v>
      </c>
      <c r="E905" s="43">
        <f t="shared" si="56"/>
        <v>67.861784251967634</v>
      </c>
      <c r="F905" s="43">
        <f t="shared" si="57"/>
        <v>7.62</v>
      </c>
      <c r="G905" s="43">
        <f t="shared" si="58"/>
        <v>5515.8058239999291</v>
      </c>
      <c r="H905" s="43">
        <f t="shared" si="59"/>
        <v>111.94479930204577</v>
      </c>
      <c r="I905" s="42"/>
    </row>
    <row r="906" spans="1:9" ht="12.75" customHeight="1">
      <c r="A906" s="43">
        <v>250</v>
      </c>
      <c r="B906" s="43">
        <v>3</v>
      </c>
      <c r="C906" s="43">
        <v>850</v>
      </c>
      <c r="D906" s="43">
        <v>419.29999999999984</v>
      </c>
      <c r="E906" s="43">
        <f t="shared" si="56"/>
        <v>67.861784251967634</v>
      </c>
      <c r="F906" s="43">
        <f t="shared" si="57"/>
        <v>7.62</v>
      </c>
      <c r="G906" s="43">
        <f t="shared" si="58"/>
        <v>5860.5436879999252</v>
      </c>
      <c r="H906" s="43">
        <f t="shared" si="59"/>
        <v>113.81778454740007</v>
      </c>
      <c r="I906" s="42"/>
    </row>
    <row r="907" spans="1:9" ht="12.75" customHeight="1">
      <c r="A907" s="43">
        <v>250</v>
      </c>
      <c r="B907" s="43">
        <v>3</v>
      </c>
      <c r="C907" s="43">
        <v>900</v>
      </c>
      <c r="D907" s="43">
        <v>426.19999999999982</v>
      </c>
      <c r="E907" s="43">
        <f t="shared" si="56"/>
        <v>67.861784251967634</v>
      </c>
      <c r="F907" s="43">
        <f t="shared" si="57"/>
        <v>7.62</v>
      </c>
      <c r="G907" s="43">
        <f t="shared" si="58"/>
        <v>6205.2815519999203</v>
      </c>
      <c r="H907" s="43">
        <f t="shared" si="59"/>
        <v>115.69076979275437</v>
      </c>
      <c r="I907" s="42"/>
    </row>
    <row r="908" spans="1:9" ht="12.75" customHeight="1">
      <c r="A908" s="43">
        <v>250</v>
      </c>
      <c r="B908" s="43">
        <v>3</v>
      </c>
      <c r="C908" s="43">
        <v>950</v>
      </c>
      <c r="D908" s="43">
        <v>433.0999999999998</v>
      </c>
      <c r="E908" s="43">
        <f t="shared" si="56"/>
        <v>67.861784251967634</v>
      </c>
      <c r="F908" s="43">
        <f t="shared" si="57"/>
        <v>7.62</v>
      </c>
      <c r="G908" s="43">
        <f t="shared" si="58"/>
        <v>6550.0194159999164</v>
      </c>
      <c r="H908" s="43">
        <f t="shared" si="59"/>
        <v>117.56375503810867</v>
      </c>
      <c r="I908" s="42"/>
    </row>
    <row r="909" spans="1:9" ht="12.75" customHeight="1">
      <c r="A909" s="43">
        <v>250</v>
      </c>
      <c r="B909" s="43">
        <v>3</v>
      </c>
      <c r="C909" s="43">
        <v>1000</v>
      </c>
      <c r="D909" s="43">
        <v>440</v>
      </c>
      <c r="E909" s="43">
        <f t="shared" si="56"/>
        <v>67.861784251967634</v>
      </c>
      <c r="F909" s="43">
        <f t="shared" si="57"/>
        <v>7.62</v>
      </c>
      <c r="G909" s="43">
        <f t="shared" si="58"/>
        <v>6894.7572799999116</v>
      </c>
      <c r="H909" s="43">
        <f t="shared" si="59"/>
        <v>119.43674028346302</v>
      </c>
      <c r="I909" s="42"/>
    </row>
    <row r="910" spans="1:9" ht="12.75" customHeight="1">
      <c r="A910" s="43">
        <v>250</v>
      </c>
      <c r="B910" s="43">
        <v>3</v>
      </c>
      <c r="C910" s="43">
        <v>1100</v>
      </c>
      <c r="D910" s="43">
        <v>452</v>
      </c>
      <c r="E910" s="43">
        <f t="shared" si="56"/>
        <v>67.861784251967634</v>
      </c>
      <c r="F910" s="43">
        <f t="shared" si="57"/>
        <v>7.62</v>
      </c>
      <c r="G910" s="43">
        <f t="shared" si="58"/>
        <v>7584.2330079999028</v>
      </c>
      <c r="H910" s="43">
        <f t="shared" si="59"/>
        <v>122.69410592755749</v>
      </c>
      <c r="I910" s="42"/>
    </row>
    <row r="911" spans="1:9" ht="12.75" customHeight="1">
      <c r="A911" s="43">
        <v>250</v>
      </c>
      <c r="B911" s="43">
        <v>3</v>
      </c>
      <c r="C911" s="43">
        <v>1200</v>
      </c>
      <c r="D911" s="43">
        <v>464</v>
      </c>
      <c r="E911" s="43">
        <f t="shared" si="56"/>
        <v>67.861784251967634</v>
      </c>
      <c r="F911" s="43">
        <f t="shared" si="57"/>
        <v>7.62</v>
      </c>
      <c r="G911" s="43">
        <f t="shared" si="58"/>
        <v>8273.708735999895</v>
      </c>
      <c r="H911" s="43">
        <f t="shared" si="59"/>
        <v>125.95147157165194</v>
      </c>
      <c r="I911" s="42"/>
    </row>
    <row r="912" spans="1:9" ht="12.75" customHeight="1">
      <c r="A912" s="43">
        <v>250</v>
      </c>
      <c r="B912" s="43">
        <v>3</v>
      </c>
      <c r="C912" s="43">
        <v>1300</v>
      </c>
      <c r="D912" s="43">
        <v>476</v>
      </c>
      <c r="E912" s="43">
        <f t="shared" si="56"/>
        <v>67.861784251967634</v>
      </c>
      <c r="F912" s="43">
        <f t="shared" si="57"/>
        <v>7.62</v>
      </c>
      <c r="G912" s="43">
        <f t="shared" si="58"/>
        <v>8963.1844639998853</v>
      </c>
      <c r="H912" s="43">
        <f t="shared" si="59"/>
        <v>129.20883721574637</v>
      </c>
      <c r="I912" s="42"/>
    </row>
    <row r="913" spans="1:9" ht="12.75" customHeight="1">
      <c r="A913" s="43">
        <v>250</v>
      </c>
      <c r="B913" s="43">
        <v>3</v>
      </c>
      <c r="C913" s="43">
        <v>1400</v>
      </c>
      <c r="D913" s="43">
        <v>488</v>
      </c>
      <c r="E913" s="43">
        <f t="shared" si="56"/>
        <v>67.861784251967634</v>
      </c>
      <c r="F913" s="43">
        <f t="shared" si="57"/>
        <v>7.62</v>
      </c>
      <c r="G913" s="43">
        <f t="shared" si="58"/>
        <v>9652.6601919998757</v>
      </c>
      <c r="H913" s="43">
        <f t="shared" si="59"/>
        <v>132.46620285984082</v>
      </c>
      <c r="I913" s="42"/>
    </row>
    <row r="914" spans="1:9" ht="12.75" customHeight="1">
      <c r="A914" s="43">
        <v>250</v>
      </c>
      <c r="B914" s="43">
        <v>3</v>
      </c>
      <c r="C914" s="43">
        <v>1500</v>
      </c>
      <c r="D914" s="43">
        <v>500</v>
      </c>
      <c r="E914" s="43">
        <f t="shared" si="56"/>
        <v>67.861784251967634</v>
      </c>
      <c r="F914" s="43">
        <f t="shared" si="57"/>
        <v>7.62</v>
      </c>
      <c r="G914" s="43">
        <f t="shared" si="58"/>
        <v>10342.135919999868</v>
      </c>
      <c r="H914" s="43">
        <f t="shared" si="59"/>
        <v>135.72356850393527</v>
      </c>
      <c r="I914" s="42"/>
    </row>
    <row r="915" spans="1:9" ht="12.75" customHeight="1">
      <c r="A915" s="43">
        <v>250</v>
      </c>
      <c r="B915" s="43">
        <v>3</v>
      </c>
      <c r="C915" s="43">
        <v>1600</v>
      </c>
      <c r="D915" s="43">
        <v>512</v>
      </c>
      <c r="E915" s="43">
        <f t="shared" si="56"/>
        <v>67.861784251967634</v>
      </c>
      <c r="F915" s="43">
        <f t="shared" si="57"/>
        <v>7.62</v>
      </c>
      <c r="G915" s="43">
        <f t="shared" si="58"/>
        <v>11031.611647999858</v>
      </c>
      <c r="H915" s="43">
        <f t="shared" si="59"/>
        <v>138.98093414802972</v>
      </c>
      <c r="I915" s="42"/>
    </row>
    <row r="916" spans="1:9" ht="12.75" customHeight="1">
      <c r="A916" s="43">
        <v>250</v>
      </c>
      <c r="B916" s="43">
        <v>3</v>
      </c>
      <c r="C916" s="43">
        <v>1700</v>
      </c>
      <c r="D916" s="43">
        <v>524</v>
      </c>
      <c r="E916" s="43">
        <f t="shared" si="56"/>
        <v>67.861784251967634</v>
      </c>
      <c r="F916" s="43">
        <f t="shared" si="57"/>
        <v>7.62</v>
      </c>
      <c r="G916" s="43">
        <f t="shared" si="58"/>
        <v>11721.08737599985</v>
      </c>
      <c r="H916" s="43">
        <f t="shared" si="59"/>
        <v>142.23829979212417</v>
      </c>
      <c r="I916" s="42"/>
    </row>
    <row r="917" spans="1:9" ht="12.75" customHeight="1">
      <c r="A917" s="43">
        <v>250</v>
      </c>
      <c r="B917" s="43">
        <v>3</v>
      </c>
      <c r="C917" s="43">
        <v>1800</v>
      </c>
      <c r="D917" s="43">
        <v>536</v>
      </c>
      <c r="E917" s="43">
        <f t="shared" si="56"/>
        <v>67.861784251967634</v>
      </c>
      <c r="F917" s="43">
        <f t="shared" si="57"/>
        <v>7.62</v>
      </c>
      <c r="G917" s="43">
        <f t="shared" si="58"/>
        <v>12410.563103999841</v>
      </c>
      <c r="H917" s="43">
        <f t="shared" si="59"/>
        <v>145.49566543621862</v>
      </c>
      <c r="I917" s="42"/>
    </row>
    <row r="918" spans="1:9" ht="12.75" customHeight="1">
      <c r="A918" s="43">
        <v>250</v>
      </c>
      <c r="B918" s="43">
        <v>3</v>
      </c>
      <c r="C918" s="43">
        <v>1900</v>
      </c>
      <c r="D918" s="43">
        <v>548</v>
      </c>
      <c r="E918" s="43">
        <f t="shared" si="56"/>
        <v>67.861784251967634</v>
      </c>
      <c r="F918" s="43">
        <f t="shared" si="57"/>
        <v>7.62</v>
      </c>
      <c r="G918" s="43">
        <f t="shared" si="58"/>
        <v>13100.038831999833</v>
      </c>
      <c r="H918" s="43">
        <f t="shared" si="59"/>
        <v>148.75303108031304</v>
      </c>
      <c r="I918" s="42"/>
    </row>
    <row r="919" spans="1:9" ht="12.75" customHeight="1">
      <c r="A919" s="43">
        <v>250</v>
      </c>
      <c r="B919" s="43">
        <v>3</v>
      </c>
      <c r="C919" s="43">
        <v>2000</v>
      </c>
      <c r="D919" s="43">
        <v>560</v>
      </c>
      <c r="E919" s="43">
        <f t="shared" si="56"/>
        <v>67.861784251967634</v>
      </c>
      <c r="F919" s="43">
        <f t="shared" si="57"/>
        <v>7.62</v>
      </c>
      <c r="G919" s="43">
        <f t="shared" si="58"/>
        <v>13789.514559999823</v>
      </c>
      <c r="H919" s="43">
        <f t="shared" si="59"/>
        <v>152.01039672440749</v>
      </c>
      <c r="I919" s="42"/>
    </row>
    <row r="920" spans="1:9" ht="12.75" customHeight="1">
      <c r="A920" s="43">
        <v>250</v>
      </c>
      <c r="B920" s="43">
        <v>4</v>
      </c>
      <c r="C920" s="43">
        <v>50</v>
      </c>
      <c r="D920" s="43">
        <v>301</v>
      </c>
      <c r="E920" s="43">
        <f t="shared" si="56"/>
        <v>67.861784251967634</v>
      </c>
      <c r="F920" s="43">
        <f t="shared" si="57"/>
        <v>10.16</v>
      </c>
      <c r="G920" s="43">
        <f t="shared" si="58"/>
        <v>344.73786399999557</v>
      </c>
      <c r="H920" s="43">
        <f t="shared" si="59"/>
        <v>81.705588239369035</v>
      </c>
      <c r="I920" s="42"/>
    </row>
    <row r="921" spans="1:9" ht="12.75" customHeight="1">
      <c r="A921" s="43">
        <v>250</v>
      </c>
      <c r="B921" s="43">
        <v>4</v>
      </c>
      <c r="C921" s="43">
        <v>60</v>
      </c>
      <c r="D921" s="43">
        <v>305.39999999999998</v>
      </c>
      <c r="E921" s="43">
        <f t="shared" si="56"/>
        <v>67.861784251967634</v>
      </c>
      <c r="F921" s="43">
        <f t="shared" si="57"/>
        <v>10.16</v>
      </c>
      <c r="G921" s="43">
        <f t="shared" si="58"/>
        <v>413.6854367999947</v>
      </c>
      <c r="H921" s="43">
        <f t="shared" si="59"/>
        <v>82.899955642203651</v>
      </c>
      <c r="I921" s="42"/>
    </row>
    <row r="922" spans="1:9" ht="12.75" customHeight="1">
      <c r="A922" s="43">
        <v>250</v>
      </c>
      <c r="B922" s="43">
        <v>4</v>
      </c>
      <c r="C922" s="43">
        <v>70</v>
      </c>
      <c r="D922" s="43">
        <v>309.79999999999995</v>
      </c>
      <c r="E922" s="43">
        <f t="shared" si="56"/>
        <v>67.861784251967634</v>
      </c>
      <c r="F922" s="43">
        <f t="shared" si="57"/>
        <v>10.16</v>
      </c>
      <c r="G922" s="43">
        <f t="shared" si="58"/>
        <v>482.63300959999384</v>
      </c>
      <c r="H922" s="43">
        <f t="shared" si="59"/>
        <v>84.09432304503828</v>
      </c>
      <c r="I922" s="42"/>
    </row>
    <row r="923" spans="1:9" ht="12.75" customHeight="1">
      <c r="A923" s="43">
        <v>250</v>
      </c>
      <c r="B923" s="43">
        <v>4</v>
      </c>
      <c r="C923" s="43">
        <v>80</v>
      </c>
      <c r="D923" s="43">
        <v>314.19999999999993</v>
      </c>
      <c r="E923" s="43">
        <f t="shared" si="56"/>
        <v>67.861784251967634</v>
      </c>
      <c r="F923" s="43">
        <f t="shared" si="57"/>
        <v>10.16</v>
      </c>
      <c r="G923" s="43">
        <f t="shared" si="58"/>
        <v>551.58058239999298</v>
      </c>
      <c r="H923" s="43">
        <f t="shared" si="59"/>
        <v>85.288690447872895</v>
      </c>
      <c r="I923" s="42"/>
    </row>
    <row r="924" spans="1:9" ht="12.75" customHeight="1">
      <c r="A924" s="43">
        <v>250</v>
      </c>
      <c r="B924" s="43">
        <v>4</v>
      </c>
      <c r="C924" s="43">
        <v>90</v>
      </c>
      <c r="D924" s="43">
        <v>318.59999999999991</v>
      </c>
      <c r="E924" s="43">
        <f t="shared" si="56"/>
        <v>67.861784251967634</v>
      </c>
      <c r="F924" s="43">
        <f t="shared" si="57"/>
        <v>10.16</v>
      </c>
      <c r="G924" s="43">
        <f t="shared" si="58"/>
        <v>620.52815519999206</v>
      </c>
      <c r="H924" s="43">
        <f t="shared" si="59"/>
        <v>86.483057850707539</v>
      </c>
      <c r="I924" s="42"/>
    </row>
    <row r="925" spans="1:9" ht="12.75" customHeight="1">
      <c r="A925" s="43">
        <v>250</v>
      </c>
      <c r="B925" s="43">
        <v>4</v>
      </c>
      <c r="C925" s="43">
        <v>100</v>
      </c>
      <c r="D925" s="43">
        <v>323</v>
      </c>
      <c r="E925" s="43">
        <f t="shared" si="56"/>
        <v>67.861784251967634</v>
      </c>
      <c r="F925" s="43">
        <f t="shared" si="57"/>
        <v>10.16</v>
      </c>
      <c r="G925" s="43">
        <f t="shared" si="58"/>
        <v>689.47572799999114</v>
      </c>
      <c r="H925" s="43">
        <f t="shared" si="59"/>
        <v>87.677425253542182</v>
      </c>
      <c r="I925" s="42"/>
    </row>
    <row r="926" spans="1:9" ht="12.75" customHeight="1">
      <c r="A926" s="43">
        <v>250</v>
      </c>
      <c r="B926" s="43">
        <v>4</v>
      </c>
      <c r="C926" s="43">
        <v>150</v>
      </c>
      <c r="D926" s="43">
        <v>338.75</v>
      </c>
      <c r="E926" s="43">
        <f t="shared" si="56"/>
        <v>67.861784251967634</v>
      </c>
      <c r="F926" s="43">
        <f t="shared" si="57"/>
        <v>10.16</v>
      </c>
      <c r="G926" s="43">
        <f t="shared" si="58"/>
        <v>1034.2135919999869</v>
      </c>
      <c r="H926" s="43">
        <f t="shared" si="59"/>
        <v>91.952717661416131</v>
      </c>
      <c r="I926" s="42"/>
    </row>
    <row r="927" spans="1:9" ht="12.75" customHeight="1">
      <c r="A927" s="43">
        <v>250</v>
      </c>
      <c r="B927" s="43">
        <v>4</v>
      </c>
      <c r="C927" s="43">
        <v>200</v>
      </c>
      <c r="D927" s="43">
        <v>354.5</v>
      </c>
      <c r="E927" s="43">
        <f t="shared" si="56"/>
        <v>67.861784251967634</v>
      </c>
      <c r="F927" s="43">
        <f t="shared" si="57"/>
        <v>10.16</v>
      </c>
      <c r="G927" s="43">
        <f t="shared" si="58"/>
        <v>1378.9514559999823</v>
      </c>
      <c r="H927" s="43">
        <f t="shared" si="59"/>
        <v>96.228010069290093</v>
      </c>
      <c r="I927" s="42"/>
    </row>
    <row r="928" spans="1:9" ht="12.75" customHeight="1">
      <c r="A928" s="43">
        <v>250</v>
      </c>
      <c r="B928" s="43">
        <v>4</v>
      </c>
      <c r="C928" s="43">
        <v>250</v>
      </c>
      <c r="D928" s="43">
        <v>370.25</v>
      </c>
      <c r="E928" s="43">
        <f t="shared" si="56"/>
        <v>67.861784251967634</v>
      </c>
      <c r="F928" s="43">
        <f t="shared" si="57"/>
        <v>10.16</v>
      </c>
      <c r="G928" s="43">
        <f t="shared" si="58"/>
        <v>1723.6893199999779</v>
      </c>
      <c r="H928" s="43">
        <f t="shared" si="59"/>
        <v>100.50330247716407</v>
      </c>
      <c r="I928" s="42"/>
    </row>
    <row r="929" spans="1:9" ht="12.75" customHeight="1">
      <c r="A929" s="43">
        <v>250</v>
      </c>
      <c r="B929" s="43">
        <v>4</v>
      </c>
      <c r="C929" s="43">
        <v>300</v>
      </c>
      <c r="D929" s="43">
        <v>386</v>
      </c>
      <c r="E929" s="43">
        <f t="shared" si="56"/>
        <v>67.861784251967634</v>
      </c>
      <c r="F929" s="43">
        <f t="shared" si="57"/>
        <v>10.16</v>
      </c>
      <c r="G929" s="43">
        <f t="shared" si="58"/>
        <v>2068.4271839999737</v>
      </c>
      <c r="H929" s="43">
        <f t="shared" si="59"/>
        <v>104.77859488503803</v>
      </c>
      <c r="I929" s="42"/>
    </row>
    <row r="930" spans="1:9" ht="12.75" customHeight="1">
      <c r="A930" s="43">
        <v>250</v>
      </c>
      <c r="B930" s="43">
        <v>4</v>
      </c>
      <c r="C930" s="43">
        <v>350</v>
      </c>
      <c r="D930" s="43">
        <v>400</v>
      </c>
      <c r="E930" s="43">
        <f t="shared" si="56"/>
        <v>67.861784251967634</v>
      </c>
      <c r="F930" s="43">
        <f t="shared" si="57"/>
        <v>10.16</v>
      </c>
      <c r="G930" s="43">
        <f t="shared" si="58"/>
        <v>2413.1650479999689</v>
      </c>
      <c r="H930" s="43">
        <f t="shared" si="59"/>
        <v>108.57885480314822</v>
      </c>
      <c r="I930" s="42"/>
    </row>
    <row r="931" spans="1:9" ht="12.75" customHeight="1">
      <c r="A931" s="43">
        <v>250</v>
      </c>
      <c r="B931" s="43">
        <v>4</v>
      </c>
      <c r="C931" s="43">
        <v>400</v>
      </c>
      <c r="D931" s="43">
        <v>414</v>
      </c>
      <c r="E931" s="43">
        <f t="shared" si="56"/>
        <v>67.861784251967634</v>
      </c>
      <c r="F931" s="43">
        <f t="shared" si="57"/>
        <v>10.16</v>
      </c>
      <c r="G931" s="43">
        <f t="shared" si="58"/>
        <v>2757.9029119999645</v>
      </c>
      <c r="H931" s="43">
        <f t="shared" si="59"/>
        <v>112.37911472125839</v>
      </c>
      <c r="I931" s="42"/>
    </row>
    <row r="932" spans="1:9" ht="12.75" customHeight="1">
      <c r="A932" s="43">
        <v>250</v>
      </c>
      <c r="B932" s="43">
        <v>4</v>
      </c>
      <c r="C932" s="43">
        <v>450</v>
      </c>
      <c r="D932" s="43">
        <v>428</v>
      </c>
      <c r="E932" s="43">
        <f t="shared" si="56"/>
        <v>67.861784251967634</v>
      </c>
      <c r="F932" s="43">
        <f t="shared" si="57"/>
        <v>10.16</v>
      </c>
      <c r="G932" s="43">
        <f t="shared" si="58"/>
        <v>3102.6407759999602</v>
      </c>
      <c r="H932" s="43">
        <f t="shared" si="59"/>
        <v>116.17937463936859</v>
      </c>
      <c r="I932" s="42"/>
    </row>
    <row r="933" spans="1:9" ht="12.75" customHeight="1">
      <c r="A933" s="43">
        <v>250</v>
      </c>
      <c r="B933" s="43">
        <v>4</v>
      </c>
      <c r="C933" s="43">
        <v>500</v>
      </c>
      <c r="D933" s="43">
        <v>442</v>
      </c>
      <c r="E933" s="43">
        <f t="shared" si="56"/>
        <v>67.861784251967634</v>
      </c>
      <c r="F933" s="43">
        <f t="shared" si="57"/>
        <v>10.16</v>
      </c>
      <c r="G933" s="43">
        <f t="shared" si="58"/>
        <v>3447.3786399999558</v>
      </c>
      <c r="H933" s="43">
        <f t="shared" si="59"/>
        <v>119.97963455747878</v>
      </c>
      <c r="I933" s="42"/>
    </row>
    <row r="934" spans="1:9" ht="12.75" customHeight="1">
      <c r="A934" s="43">
        <v>250</v>
      </c>
      <c r="B934" s="43">
        <v>4</v>
      </c>
      <c r="C934" s="43">
        <v>550</v>
      </c>
      <c r="D934" s="43">
        <v>454.5</v>
      </c>
      <c r="E934" s="43">
        <f t="shared" si="56"/>
        <v>67.861784251967634</v>
      </c>
      <c r="F934" s="43">
        <f t="shared" si="57"/>
        <v>10.16</v>
      </c>
      <c r="G934" s="43">
        <f t="shared" si="58"/>
        <v>3792.1165039999514</v>
      </c>
      <c r="H934" s="43">
        <f t="shared" si="59"/>
        <v>123.37272377007716</v>
      </c>
      <c r="I934" s="42"/>
    </row>
    <row r="935" spans="1:9" ht="12.75" customHeight="1">
      <c r="A935" s="43">
        <v>250</v>
      </c>
      <c r="B935" s="43">
        <v>4</v>
      </c>
      <c r="C935" s="43">
        <v>600</v>
      </c>
      <c r="D935" s="43">
        <v>467</v>
      </c>
      <c r="E935" s="43">
        <f t="shared" si="56"/>
        <v>67.861784251967634</v>
      </c>
      <c r="F935" s="43">
        <f t="shared" si="57"/>
        <v>10.16</v>
      </c>
      <c r="G935" s="43">
        <f t="shared" si="58"/>
        <v>4136.8543679999475</v>
      </c>
      <c r="H935" s="43">
        <f t="shared" si="59"/>
        <v>126.76581298267554</v>
      </c>
      <c r="I935" s="42"/>
    </row>
    <row r="936" spans="1:9" ht="12.75" customHeight="1">
      <c r="A936" s="43">
        <v>250</v>
      </c>
      <c r="B936" s="43">
        <v>4</v>
      </c>
      <c r="C936" s="43">
        <v>650</v>
      </c>
      <c r="D936" s="43">
        <v>479.5</v>
      </c>
      <c r="E936" s="43">
        <f t="shared" si="56"/>
        <v>67.861784251967634</v>
      </c>
      <c r="F936" s="43">
        <f t="shared" si="57"/>
        <v>10.16</v>
      </c>
      <c r="G936" s="43">
        <f t="shared" si="58"/>
        <v>4481.5922319999427</v>
      </c>
      <c r="H936" s="43">
        <f t="shared" si="59"/>
        <v>130.15890219527392</v>
      </c>
      <c r="I936" s="42"/>
    </row>
    <row r="937" spans="1:9" ht="12.75" customHeight="1">
      <c r="A937" s="43">
        <v>250</v>
      </c>
      <c r="B937" s="43">
        <v>4</v>
      </c>
      <c r="C937" s="43">
        <v>700</v>
      </c>
      <c r="D937" s="43">
        <v>492</v>
      </c>
      <c r="E937" s="43">
        <f t="shared" si="56"/>
        <v>67.861784251967634</v>
      </c>
      <c r="F937" s="43">
        <f t="shared" si="57"/>
        <v>10.16</v>
      </c>
      <c r="G937" s="43">
        <f t="shared" si="58"/>
        <v>4826.3300959999378</v>
      </c>
      <c r="H937" s="43">
        <f t="shared" si="59"/>
        <v>133.55199140787229</v>
      </c>
      <c r="I937" s="42"/>
    </row>
    <row r="938" spans="1:9" ht="12.75" customHeight="1">
      <c r="A938" s="43">
        <v>250</v>
      </c>
      <c r="B938" s="43">
        <v>4</v>
      </c>
      <c r="C938" s="43">
        <v>750</v>
      </c>
      <c r="D938" s="43">
        <v>504.5</v>
      </c>
      <c r="E938" s="43">
        <f t="shared" si="56"/>
        <v>67.861784251967634</v>
      </c>
      <c r="F938" s="43">
        <f t="shared" si="57"/>
        <v>10.16</v>
      </c>
      <c r="G938" s="43">
        <f t="shared" si="58"/>
        <v>5171.0679599999339</v>
      </c>
      <c r="H938" s="43">
        <f t="shared" si="59"/>
        <v>136.94508062047069</v>
      </c>
      <c r="I938" s="42"/>
    </row>
    <row r="939" spans="1:9" ht="12.75" customHeight="1">
      <c r="A939" s="43">
        <v>250</v>
      </c>
      <c r="B939" s="43">
        <v>4</v>
      </c>
      <c r="C939" s="43">
        <v>800</v>
      </c>
      <c r="D939" s="43">
        <v>517</v>
      </c>
      <c r="E939" s="43">
        <f t="shared" si="56"/>
        <v>67.861784251967634</v>
      </c>
      <c r="F939" s="43">
        <f t="shared" si="57"/>
        <v>10.16</v>
      </c>
      <c r="G939" s="43">
        <f t="shared" si="58"/>
        <v>5515.8058239999291</v>
      </c>
      <c r="H939" s="43">
        <f t="shared" si="59"/>
        <v>140.33816983306906</v>
      </c>
      <c r="I939" s="42"/>
    </row>
    <row r="940" spans="1:9" ht="12.75" customHeight="1">
      <c r="A940" s="43">
        <v>250</v>
      </c>
      <c r="B940" s="43">
        <v>4</v>
      </c>
      <c r="C940" s="43">
        <v>850</v>
      </c>
      <c r="D940" s="43">
        <v>529.5</v>
      </c>
      <c r="E940" s="43">
        <f t="shared" si="56"/>
        <v>67.861784251967634</v>
      </c>
      <c r="F940" s="43">
        <f t="shared" si="57"/>
        <v>10.16</v>
      </c>
      <c r="G940" s="43">
        <f t="shared" si="58"/>
        <v>5860.5436879999252</v>
      </c>
      <c r="H940" s="43">
        <f t="shared" si="59"/>
        <v>143.73125904566743</v>
      </c>
      <c r="I940" s="42"/>
    </row>
    <row r="941" spans="1:9" ht="12.75" customHeight="1">
      <c r="A941" s="43">
        <v>250</v>
      </c>
      <c r="B941" s="43">
        <v>4</v>
      </c>
      <c r="C941" s="43">
        <v>900</v>
      </c>
      <c r="D941" s="43">
        <v>542</v>
      </c>
      <c r="E941" s="43">
        <f t="shared" si="56"/>
        <v>67.861784251967634</v>
      </c>
      <c r="F941" s="43">
        <f t="shared" si="57"/>
        <v>10.16</v>
      </c>
      <c r="G941" s="43">
        <f t="shared" si="58"/>
        <v>6205.2815519999203</v>
      </c>
      <c r="H941" s="43">
        <f t="shared" si="59"/>
        <v>147.12434825826583</v>
      </c>
      <c r="I941" s="42"/>
    </row>
    <row r="942" spans="1:9" ht="12.75" customHeight="1">
      <c r="A942" s="43">
        <v>250</v>
      </c>
      <c r="B942" s="43">
        <v>4</v>
      </c>
      <c r="C942" s="43">
        <v>950</v>
      </c>
      <c r="D942" s="43">
        <v>554.5</v>
      </c>
      <c r="E942" s="43">
        <f t="shared" si="56"/>
        <v>67.861784251967634</v>
      </c>
      <c r="F942" s="43">
        <f t="shared" si="57"/>
        <v>10.16</v>
      </c>
      <c r="G942" s="43">
        <f t="shared" si="58"/>
        <v>6550.0194159999164</v>
      </c>
      <c r="H942" s="43">
        <f t="shared" si="59"/>
        <v>150.51743747086422</v>
      </c>
      <c r="I942" s="42"/>
    </row>
    <row r="943" spans="1:9" ht="12.75" customHeight="1">
      <c r="A943" s="43">
        <v>250</v>
      </c>
      <c r="B943" s="43">
        <v>4</v>
      </c>
      <c r="C943" s="43">
        <v>1000</v>
      </c>
      <c r="D943" s="43">
        <v>567</v>
      </c>
      <c r="E943" s="43">
        <f t="shared" si="56"/>
        <v>67.861784251967634</v>
      </c>
      <c r="F943" s="43">
        <f t="shared" si="57"/>
        <v>10.16</v>
      </c>
      <c r="G943" s="43">
        <f t="shared" si="58"/>
        <v>6894.7572799999116</v>
      </c>
      <c r="H943" s="43">
        <f t="shared" si="59"/>
        <v>153.91052668346259</v>
      </c>
      <c r="I943" s="42"/>
    </row>
    <row r="944" spans="1:9" ht="12.75" customHeight="1">
      <c r="A944" s="43">
        <v>250</v>
      </c>
      <c r="B944" s="43">
        <v>4</v>
      </c>
      <c r="C944" s="43">
        <v>1100</v>
      </c>
      <c r="D944" s="43">
        <v>589.6</v>
      </c>
      <c r="E944" s="43">
        <f t="shared" si="56"/>
        <v>67.861784251967634</v>
      </c>
      <c r="F944" s="43">
        <f t="shared" si="57"/>
        <v>10.16</v>
      </c>
      <c r="G944" s="43">
        <f t="shared" si="58"/>
        <v>7584.2330079999028</v>
      </c>
      <c r="H944" s="43">
        <f t="shared" si="59"/>
        <v>160.04523197984048</v>
      </c>
      <c r="I944" s="42"/>
    </row>
    <row r="945" spans="1:9" ht="12.75" customHeight="1">
      <c r="A945" s="43">
        <v>250</v>
      </c>
      <c r="B945" s="43">
        <v>4</v>
      </c>
      <c r="C945" s="43">
        <v>1200</v>
      </c>
      <c r="D945" s="43">
        <v>612.20000000000005</v>
      </c>
      <c r="E945" s="43">
        <f t="shared" si="56"/>
        <v>67.861784251967634</v>
      </c>
      <c r="F945" s="43">
        <f t="shared" si="57"/>
        <v>10.16</v>
      </c>
      <c r="G945" s="43">
        <f t="shared" si="58"/>
        <v>8273.708735999895</v>
      </c>
      <c r="H945" s="43">
        <f t="shared" si="59"/>
        <v>166.17993727621834</v>
      </c>
      <c r="I945" s="42"/>
    </row>
    <row r="946" spans="1:9" ht="12.75" customHeight="1">
      <c r="A946" s="43">
        <v>250</v>
      </c>
      <c r="B946" s="43">
        <v>4</v>
      </c>
      <c r="C946" s="43">
        <v>1300</v>
      </c>
      <c r="D946" s="43">
        <v>634.80000000000007</v>
      </c>
      <c r="E946" s="43">
        <f t="shared" si="56"/>
        <v>67.861784251967634</v>
      </c>
      <c r="F946" s="43">
        <f t="shared" si="57"/>
        <v>10.16</v>
      </c>
      <c r="G946" s="43">
        <f t="shared" si="58"/>
        <v>8963.1844639998853</v>
      </c>
      <c r="H946" s="43">
        <f t="shared" si="59"/>
        <v>172.31464257259623</v>
      </c>
      <c r="I946" s="42"/>
    </row>
    <row r="947" spans="1:9" ht="12.75" customHeight="1">
      <c r="A947" s="43">
        <v>250</v>
      </c>
      <c r="B947" s="43">
        <v>4</v>
      </c>
      <c r="C947" s="43">
        <v>1400</v>
      </c>
      <c r="D947" s="43">
        <v>657.40000000000009</v>
      </c>
      <c r="E947" s="43">
        <f t="shared" si="56"/>
        <v>67.861784251967634</v>
      </c>
      <c r="F947" s="43">
        <f t="shared" si="57"/>
        <v>10.16</v>
      </c>
      <c r="G947" s="43">
        <f t="shared" si="58"/>
        <v>9652.6601919998757</v>
      </c>
      <c r="H947" s="43">
        <f t="shared" si="59"/>
        <v>178.44934786897412</v>
      </c>
      <c r="I947" s="42"/>
    </row>
    <row r="948" spans="1:9" ht="12.75" customHeight="1">
      <c r="A948" s="43">
        <v>250</v>
      </c>
      <c r="B948" s="43">
        <v>4</v>
      </c>
      <c r="C948" s="43">
        <v>1500</v>
      </c>
      <c r="D948" s="43">
        <v>680.00000000000011</v>
      </c>
      <c r="E948" s="43">
        <f t="shared" si="56"/>
        <v>67.861784251967634</v>
      </c>
      <c r="F948" s="43">
        <f t="shared" si="57"/>
        <v>10.16</v>
      </c>
      <c r="G948" s="43">
        <f t="shared" si="58"/>
        <v>10342.135919999868</v>
      </c>
      <c r="H948" s="43">
        <f t="shared" si="59"/>
        <v>184.58405316535197</v>
      </c>
      <c r="I948" s="42"/>
    </row>
    <row r="949" spans="1:9" ht="12.75" customHeight="1">
      <c r="A949" s="43">
        <v>250</v>
      </c>
      <c r="B949" s="43">
        <v>4</v>
      </c>
      <c r="C949" s="43">
        <v>1600</v>
      </c>
      <c r="D949" s="43">
        <v>702.60000000000014</v>
      </c>
      <c r="E949" s="43">
        <f t="shared" si="56"/>
        <v>67.861784251967634</v>
      </c>
      <c r="F949" s="43">
        <f t="shared" si="57"/>
        <v>10.16</v>
      </c>
      <c r="G949" s="43">
        <f t="shared" si="58"/>
        <v>11031.611647999858</v>
      </c>
      <c r="H949" s="43">
        <f t="shared" si="59"/>
        <v>190.71875846172986</v>
      </c>
      <c r="I949" s="42"/>
    </row>
    <row r="950" spans="1:9" ht="12.75" customHeight="1">
      <c r="A950" s="43">
        <v>250</v>
      </c>
      <c r="B950" s="43">
        <v>4</v>
      </c>
      <c r="C950" s="43">
        <v>1700</v>
      </c>
      <c r="D950" s="43">
        <v>725.20000000000016</v>
      </c>
      <c r="E950" s="43">
        <f t="shared" si="56"/>
        <v>67.861784251967634</v>
      </c>
      <c r="F950" s="43">
        <f t="shared" si="57"/>
        <v>10.16</v>
      </c>
      <c r="G950" s="43">
        <f t="shared" si="58"/>
        <v>11721.08737599985</v>
      </c>
      <c r="H950" s="43">
        <f t="shared" si="59"/>
        <v>196.85346375810775</v>
      </c>
      <c r="I950" s="42"/>
    </row>
    <row r="951" spans="1:9" ht="12.75" customHeight="1">
      <c r="A951" s="43">
        <v>250</v>
      </c>
      <c r="B951" s="43">
        <v>4</v>
      </c>
      <c r="C951" s="43">
        <v>1800</v>
      </c>
      <c r="D951" s="43">
        <v>747.80000000000018</v>
      </c>
      <c r="E951" s="43">
        <f t="shared" si="56"/>
        <v>67.861784251967634</v>
      </c>
      <c r="F951" s="43">
        <f t="shared" si="57"/>
        <v>10.16</v>
      </c>
      <c r="G951" s="43">
        <f t="shared" si="58"/>
        <v>12410.563103999841</v>
      </c>
      <c r="H951" s="43">
        <f t="shared" si="59"/>
        <v>202.98816905448561</v>
      </c>
      <c r="I951" s="42"/>
    </row>
    <row r="952" spans="1:9" ht="12.75" customHeight="1">
      <c r="A952" s="43">
        <v>250</v>
      </c>
      <c r="B952" s="43">
        <v>4</v>
      </c>
      <c r="C952" s="43">
        <v>1900</v>
      </c>
      <c r="D952" s="43">
        <v>770.4000000000002</v>
      </c>
      <c r="E952" s="43">
        <f t="shared" si="56"/>
        <v>67.861784251967634</v>
      </c>
      <c r="F952" s="43">
        <f t="shared" si="57"/>
        <v>10.16</v>
      </c>
      <c r="G952" s="43">
        <f t="shared" si="58"/>
        <v>13100.038831999833</v>
      </c>
      <c r="H952" s="43">
        <f t="shared" si="59"/>
        <v>209.1228743508635</v>
      </c>
      <c r="I952" s="42"/>
    </row>
    <row r="953" spans="1:9" ht="12.75" customHeight="1">
      <c r="A953" s="43">
        <v>250</v>
      </c>
      <c r="B953" s="43">
        <v>4</v>
      </c>
      <c r="C953" s="43">
        <v>2000</v>
      </c>
      <c r="D953" s="43">
        <v>793</v>
      </c>
      <c r="E953" s="43">
        <f t="shared" si="56"/>
        <v>67.861784251967634</v>
      </c>
      <c r="F953" s="43">
        <f t="shared" si="57"/>
        <v>10.16</v>
      </c>
      <c r="G953" s="43">
        <f t="shared" si="58"/>
        <v>13789.514559999823</v>
      </c>
      <c r="H953" s="43">
        <f t="shared" si="59"/>
        <v>215.25757964724133</v>
      </c>
      <c r="I953" s="42"/>
    </row>
    <row r="954" spans="1:9" ht="12.75" customHeight="1">
      <c r="A954" s="43">
        <v>250</v>
      </c>
      <c r="B954" s="43">
        <v>5</v>
      </c>
      <c r="C954" s="43">
        <v>50</v>
      </c>
      <c r="D954" s="43">
        <v>313</v>
      </c>
      <c r="E954" s="43">
        <f t="shared" si="56"/>
        <v>67.861784251967634</v>
      </c>
      <c r="F954" s="43">
        <f t="shared" si="57"/>
        <v>12.7</v>
      </c>
      <c r="G954" s="43">
        <f t="shared" si="58"/>
        <v>344.73786399999557</v>
      </c>
      <c r="H954" s="43">
        <f t="shared" si="59"/>
        <v>84.962953883463484</v>
      </c>
      <c r="I954" s="42"/>
    </row>
    <row r="955" spans="1:9" ht="12.75" customHeight="1">
      <c r="A955" s="43">
        <v>250</v>
      </c>
      <c r="B955" s="43">
        <v>5</v>
      </c>
      <c r="C955" s="43">
        <v>60</v>
      </c>
      <c r="D955" s="43">
        <v>319.8</v>
      </c>
      <c r="E955" s="43">
        <f t="shared" si="56"/>
        <v>67.861784251967634</v>
      </c>
      <c r="F955" s="43">
        <f t="shared" si="57"/>
        <v>12.7</v>
      </c>
      <c r="G955" s="43">
        <f t="shared" si="58"/>
        <v>413.6854367999947</v>
      </c>
      <c r="H955" s="43">
        <f t="shared" si="59"/>
        <v>86.808794415117006</v>
      </c>
      <c r="I955" s="42"/>
    </row>
    <row r="956" spans="1:9" ht="12.75" customHeight="1">
      <c r="A956" s="43">
        <v>250</v>
      </c>
      <c r="B956" s="43">
        <v>5</v>
      </c>
      <c r="C956" s="43">
        <v>70</v>
      </c>
      <c r="D956" s="43">
        <v>326.60000000000002</v>
      </c>
      <c r="E956" s="43">
        <f t="shared" si="56"/>
        <v>67.861784251967634</v>
      </c>
      <c r="F956" s="43">
        <f t="shared" si="57"/>
        <v>12.7</v>
      </c>
      <c r="G956" s="43">
        <f t="shared" si="58"/>
        <v>482.63300959999384</v>
      </c>
      <c r="H956" s="43">
        <f t="shared" si="59"/>
        <v>88.654634946770528</v>
      </c>
      <c r="I956" s="42"/>
    </row>
    <row r="957" spans="1:9" ht="12.75" customHeight="1">
      <c r="A957" s="43">
        <v>250</v>
      </c>
      <c r="B957" s="43">
        <v>5</v>
      </c>
      <c r="C957" s="43">
        <v>80</v>
      </c>
      <c r="D957" s="43">
        <v>333.40000000000003</v>
      </c>
      <c r="E957" s="43">
        <f t="shared" si="56"/>
        <v>67.861784251967634</v>
      </c>
      <c r="F957" s="43">
        <f t="shared" si="57"/>
        <v>12.7</v>
      </c>
      <c r="G957" s="43">
        <f t="shared" si="58"/>
        <v>551.58058239999298</v>
      </c>
      <c r="H957" s="43">
        <f t="shared" si="59"/>
        <v>90.50047547842405</v>
      </c>
      <c r="I957" s="42"/>
    </row>
    <row r="958" spans="1:9" ht="12.75" customHeight="1">
      <c r="A958" s="43">
        <v>250</v>
      </c>
      <c r="B958" s="43">
        <v>5</v>
      </c>
      <c r="C958" s="43">
        <v>90</v>
      </c>
      <c r="D958" s="43">
        <v>340.20000000000005</v>
      </c>
      <c r="E958" s="43">
        <f t="shared" si="56"/>
        <v>67.861784251967634</v>
      </c>
      <c r="F958" s="43">
        <f t="shared" si="57"/>
        <v>12.7</v>
      </c>
      <c r="G958" s="43">
        <f t="shared" si="58"/>
        <v>620.52815519999206</v>
      </c>
      <c r="H958" s="43">
        <f t="shared" si="59"/>
        <v>92.346316010077572</v>
      </c>
      <c r="I958" s="42"/>
    </row>
    <row r="959" spans="1:9" ht="12.75" customHeight="1">
      <c r="A959" s="43">
        <v>250</v>
      </c>
      <c r="B959" s="43">
        <v>5</v>
      </c>
      <c r="C959" s="43">
        <v>100</v>
      </c>
      <c r="D959" s="43">
        <v>347</v>
      </c>
      <c r="E959" s="43">
        <f t="shared" si="56"/>
        <v>67.861784251967634</v>
      </c>
      <c r="F959" s="43">
        <f t="shared" si="57"/>
        <v>12.7</v>
      </c>
      <c r="G959" s="43">
        <f t="shared" si="58"/>
        <v>689.47572799999114</v>
      </c>
      <c r="H959" s="43">
        <f t="shared" si="59"/>
        <v>94.192156541731066</v>
      </c>
      <c r="I959" s="42"/>
    </row>
    <row r="960" spans="1:9" ht="12.75" customHeight="1">
      <c r="A960" s="43">
        <v>250</v>
      </c>
      <c r="B960" s="43">
        <v>5</v>
      </c>
      <c r="C960" s="43">
        <v>150</v>
      </c>
      <c r="D960" s="43">
        <v>371.5</v>
      </c>
      <c r="E960" s="43">
        <f t="shared" si="56"/>
        <v>67.861784251967634</v>
      </c>
      <c r="F960" s="43">
        <f t="shared" si="57"/>
        <v>12.7</v>
      </c>
      <c r="G960" s="43">
        <f t="shared" si="58"/>
        <v>1034.2135919999869</v>
      </c>
      <c r="H960" s="43">
        <f t="shared" si="59"/>
        <v>100.8426113984239</v>
      </c>
      <c r="I960" s="42"/>
    </row>
    <row r="961" spans="1:9" ht="12.75" customHeight="1">
      <c r="A961" s="43">
        <v>250</v>
      </c>
      <c r="B961" s="43">
        <v>5</v>
      </c>
      <c r="C961" s="43">
        <v>200</v>
      </c>
      <c r="D961" s="43">
        <v>396</v>
      </c>
      <c r="E961" s="43">
        <f t="shared" si="56"/>
        <v>67.861784251967634</v>
      </c>
      <c r="F961" s="43">
        <f t="shared" si="57"/>
        <v>12.7</v>
      </c>
      <c r="G961" s="43">
        <f t="shared" si="58"/>
        <v>1378.9514559999823</v>
      </c>
      <c r="H961" s="43">
        <f t="shared" si="59"/>
        <v>107.49306625511673</v>
      </c>
      <c r="I961" s="42"/>
    </row>
    <row r="962" spans="1:9" ht="12.75" customHeight="1">
      <c r="A962" s="43">
        <v>250</v>
      </c>
      <c r="B962" s="43">
        <v>5</v>
      </c>
      <c r="C962" s="43">
        <v>250</v>
      </c>
      <c r="D962" s="43">
        <v>420.5</v>
      </c>
      <c r="E962" s="43">
        <f t="shared" si="56"/>
        <v>67.861784251967634</v>
      </c>
      <c r="F962" s="43">
        <f t="shared" si="57"/>
        <v>12.7</v>
      </c>
      <c r="G962" s="43">
        <f t="shared" si="58"/>
        <v>1723.6893199999779</v>
      </c>
      <c r="H962" s="43">
        <f t="shared" si="59"/>
        <v>114.14352111180955</v>
      </c>
      <c r="I962" s="42"/>
    </row>
    <row r="963" spans="1:9" ht="12.75" customHeight="1">
      <c r="A963" s="43">
        <v>250</v>
      </c>
      <c r="B963" s="43">
        <v>5</v>
      </c>
      <c r="C963" s="43">
        <v>300</v>
      </c>
      <c r="D963" s="43">
        <v>445</v>
      </c>
      <c r="E963" s="43">
        <f t="shared" ref="E963:E1026" si="60">A963/145.03773800722/0.0254</f>
        <v>67.861784251967634</v>
      </c>
      <c r="F963" s="43">
        <f t="shared" ref="F963:F1026" si="61">B963*2.54</f>
        <v>12.7</v>
      </c>
      <c r="G963" s="43">
        <f t="shared" ref="G963:G1026" si="62">C963/0.14503773800722</f>
        <v>2068.4271839999737</v>
      </c>
      <c r="H963" s="43">
        <f t="shared" ref="H963:H1026" si="63">D963/145.03773800722/0.0254</f>
        <v>120.79397596850238</v>
      </c>
      <c r="I963" s="42"/>
    </row>
    <row r="964" spans="1:9" ht="12.75" customHeight="1">
      <c r="A964" s="43">
        <v>250</v>
      </c>
      <c r="B964" s="43">
        <v>5</v>
      </c>
      <c r="C964" s="43">
        <v>350</v>
      </c>
      <c r="D964" s="43">
        <v>467.75</v>
      </c>
      <c r="E964" s="43">
        <f t="shared" si="60"/>
        <v>67.861784251967634</v>
      </c>
      <c r="F964" s="43">
        <f t="shared" si="61"/>
        <v>12.7</v>
      </c>
      <c r="G964" s="43">
        <f t="shared" si="62"/>
        <v>2413.1650479999689</v>
      </c>
      <c r="H964" s="43">
        <f t="shared" si="63"/>
        <v>126.96939833543145</v>
      </c>
      <c r="I964" s="42"/>
    </row>
    <row r="965" spans="1:9" ht="12.75" customHeight="1">
      <c r="A965" s="43">
        <v>250</v>
      </c>
      <c r="B965" s="43">
        <v>5</v>
      </c>
      <c r="C965" s="43">
        <v>400</v>
      </c>
      <c r="D965" s="43">
        <v>490.5</v>
      </c>
      <c r="E965" s="43">
        <f t="shared" si="60"/>
        <v>67.861784251967634</v>
      </c>
      <c r="F965" s="43">
        <f t="shared" si="61"/>
        <v>12.7</v>
      </c>
      <c r="G965" s="43">
        <f t="shared" si="62"/>
        <v>2757.9029119999645</v>
      </c>
      <c r="H965" s="43">
        <f t="shared" si="63"/>
        <v>133.14482070236051</v>
      </c>
      <c r="I965" s="42"/>
    </row>
    <row r="966" spans="1:9" ht="12.75" customHeight="1">
      <c r="A966" s="43">
        <v>250</v>
      </c>
      <c r="B966" s="43">
        <v>5</v>
      </c>
      <c r="C966" s="43">
        <v>450</v>
      </c>
      <c r="D966" s="43">
        <v>513.25</v>
      </c>
      <c r="E966" s="43">
        <f t="shared" si="60"/>
        <v>67.861784251967634</v>
      </c>
      <c r="F966" s="43">
        <f t="shared" si="61"/>
        <v>12.7</v>
      </c>
      <c r="G966" s="43">
        <f t="shared" si="62"/>
        <v>3102.6407759999602</v>
      </c>
      <c r="H966" s="43">
        <f t="shared" si="63"/>
        <v>139.32024306928955</v>
      </c>
      <c r="I966" s="42"/>
    </row>
    <row r="967" spans="1:9" ht="12.75" customHeight="1">
      <c r="A967" s="43">
        <v>250</v>
      </c>
      <c r="B967" s="43">
        <v>5</v>
      </c>
      <c r="C967" s="43">
        <v>500</v>
      </c>
      <c r="D967" s="43">
        <v>536</v>
      </c>
      <c r="E967" s="43">
        <f t="shared" si="60"/>
        <v>67.861784251967634</v>
      </c>
      <c r="F967" s="43">
        <f t="shared" si="61"/>
        <v>12.7</v>
      </c>
      <c r="G967" s="43">
        <f t="shared" si="62"/>
        <v>3447.3786399999558</v>
      </c>
      <c r="H967" s="43">
        <f t="shared" si="63"/>
        <v>145.49566543621862</v>
      </c>
      <c r="I967" s="42"/>
    </row>
    <row r="968" spans="1:9" ht="12.75" customHeight="1">
      <c r="A968" s="43">
        <v>250</v>
      </c>
      <c r="B968" s="43">
        <v>5</v>
      </c>
      <c r="C968" s="43">
        <v>550</v>
      </c>
      <c r="D968" s="43">
        <v>556.6</v>
      </c>
      <c r="E968" s="43">
        <f t="shared" si="60"/>
        <v>67.861784251967634</v>
      </c>
      <c r="F968" s="43">
        <f t="shared" si="61"/>
        <v>12.7</v>
      </c>
      <c r="G968" s="43">
        <f t="shared" si="62"/>
        <v>3792.1165039999514</v>
      </c>
      <c r="H968" s="43">
        <f t="shared" si="63"/>
        <v>151.08747645858074</v>
      </c>
      <c r="I968" s="42"/>
    </row>
    <row r="969" spans="1:9" ht="12.75" customHeight="1">
      <c r="A969" s="43">
        <v>250</v>
      </c>
      <c r="B969" s="43">
        <v>5</v>
      </c>
      <c r="C969" s="43">
        <v>600</v>
      </c>
      <c r="D969" s="43">
        <v>577.20000000000005</v>
      </c>
      <c r="E969" s="43">
        <f t="shared" si="60"/>
        <v>67.861784251967634</v>
      </c>
      <c r="F969" s="43">
        <f t="shared" si="61"/>
        <v>12.7</v>
      </c>
      <c r="G969" s="43">
        <f t="shared" si="62"/>
        <v>4136.8543679999475</v>
      </c>
      <c r="H969" s="43">
        <f t="shared" si="63"/>
        <v>156.67928748094289</v>
      </c>
      <c r="I969" s="42"/>
    </row>
    <row r="970" spans="1:9" ht="12.75" customHeight="1">
      <c r="A970" s="43">
        <v>250</v>
      </c>
      <c r="B970" s="43">
        <v>5</v>
      </c>
      <c r="C970" s="43">
        <v>650</v>
      </c>
      <c r="D970" s="43">
        <v>597.80000000000007</v>
      </c>
      <c r="E970" s="43">
        <f t="shared" si="60"/>
        <v>67.861784251967634</v>
      </c>
      <c r="F970" s="43">
        <f t="shared" si="61"/>
        <v>12.7</v>
      </c>
      <c r="G970" s="43">
        <f t="shared" si="62"/>
        <v>4481.5922319999427</v>
      </c>
      <c r="H970" s="43">
        <f t="shared" si="63"/>
        <v>162.27109850330501</v>
      </c>
      <c r="I970" s="42"/>
    </row>
    <row r="971" spans="1:9" ht="12.75" customHeight="1">
      <c r="A971" s="43">
        <v>250</v>
      </c>
      <c r="B971" s="43">
        <v>5</v>
      </c>
      <c r="C971" s="43">
        <v>700</v>
      </c>
      <c r="D971" s="43">
        <v>618.40000000000009</v>
      </c>
      <c r="E971" s="43">
        <f t="shared" si="60"/>
        <v>67.861784251967634</v>
      </c>
      <c r="F971" s="43">
        <f t="shared" si="61"/>
        <v>12.7</v>
      </c>
      <c r="G971" s="43">
        <f t="shared" si="62"/>
        <v>4826.3300959999378</v>
      </c>
      <c r="H971" s="43">
        <f t="shared" si="63"/>
        <v>167.86290952566716</v>
      </c>
      <c r="I971" s="42"/>
    </row>
    <row r="972" spans="1:9" ht="12.75" customHeight="1">
      <c r="A972" s="43">
        <v>250</v>
      </c>
      <c r="B972" s="43">
        <v>5</v>
      </c>
      <c r="C972" s="43">
        <v>750</v>
      </c>
      <c r="D972" s="43">
        <v>639.00000000000011</v>
      </c>
      <c r="E972" s="43">
        <f t="shared" si="60"/>
        <v>67.861784251967634</v>
      </c>
      <c r="F972" s="43">
        <f t="shared" si="61"/>
        <v>12.7</v>
      </c>
      <c r="G972" s="43">
        <f t="shared" si="62"/>
        <v>5171.0679599999339</v>
      </c>
      <c r="H972" s="43">
        <f t="shared" si="63"/>
        <v>173.45472054802931</v>
      </c>
      <c r="I972" s="42"/>
    </row>
    <row r="973" spans="1:9" ht="12.75" customHeight="1">
      <c r="A973" s="43">
        <v>250</v>
      </c>
      <c r="B973" s="43">
        <v>5</v>
      </c>
      <c r="C973" s="43">
        <v>800</v>
      </c>
      <c r="D973" s="43">
        <v>659.60000000000014</v>
      </c>
      <c r="E973" s="43">
        <f t="shared" si="60"/>
        <v>67.861784251967634</v>
      </c>
      <c r="F973" s="43">
        <f t="shared" si="61"/>
        <v>12.7</v>
      </c>
      <c r="G973" s="43">
        <f t="shared" si="62"/>
        <v>5515.8058239999291</v>
      </c>
      <c r="H973" s="43">
        <f t="shared" si="63"/>
        <v>179.04653157039144</v>
      </c>
      <c r="I973" s="42"/>
    </row>
    <row r="974" spans="1:9" ht="12.75" customHeight="1">
      <c r="A974" s="43">
        <v>250</v>
      </c>
      <c r="B974" s="43">
        <v>5</v>
      </c>
      <c r="C974" s="43">
        <v>850</v>
      </c>
      <c r="D974" s="43">
        <v>680.20000000000016</v>
      </c>
      <c r="E974" s="43">
        <f t="shared" si="60"/>
        <v>67.861784251967634</v>
      </c>
      <c r="F974" s="43">
        <f t="shared" si="61"/>
        <v>12.7</v>
      </c>
      <c r="G974" s="43">
        <f t="shared" si="62"/>
        <v>5860.5436879999252</v>
      </c>
      <c r="H974" s="43">
        <f t="shared" si="63"/>
        <v>184.63834259275359</v>
      </c>
      <c r="I974" s="42"/>
    </row>
    <row r="975" spans="1:9" ht="12.75" customHeight="1">
      <c r="A975" s="43">
        <v>250</v>
      </c>
      <c r="B975" s="43">
        <v>5</v>
      </c>
      <c r="C975" s="43">
        <v>900</v>
      </c>
      <c r="D975" s="43">
        <v>700.80000000000018</v>
      </c>
      <c r="E975" s="43">
        <f t="shared" si="60"/>
        <v>67.861784251967634</v>
      </c>
      <c r="F975" s="43">
        <f t="shared" si="61"/>
        <v>12.7</v>
      </c>
      <c r="G975" s="43">
        <f t="shared" si="62"/>
        <v>6205.2815519999203</v>
      </c>
      <c r="H975" s="43">
        <f t="shared" si="63"/>
        <v>190.23015361511571</v>
      </c>
      <c r="I975" s="42"/>
    </row>
    <row r="976" spans="1:9" ht="12.75" customHeight="1">
      <c r="A976" s="43">
        <v>250</v>
      </c>
      <c r="B976" s="43">
        <v>5</v>
      </c>
      <c r="C976" s="43">
        <v>950</v>
      </c>
      <c r="D976" s="43">
        <v>721.4000000000002</v>
      </c>
      <c r="E976" s="43">
        <f t="shared" si="60"/>
        <v>67.861784251967634</v>
      </c>
      <c r="F976" s="43">
        <f t="shared" si="61"/>
        <v>12.7</v>
      </c>
      <c r="G976" s="43">
        <f t="shared" si="62"/>
        <v>6550.0194159999164</v>
      </c>
      <c r="H976" s="43">
        <f t="shared" si="63"/>
        <v>195.82196463747783</v>
      </c>
      <c r="I976" s="42"/>
    </row>
    <row r="977" spans="1:9" ht="12.75" customHeight="1">
      <c r="A977" s="43">
        <v>250</v>
      </c>
      <c r="B977" s="43">
        <v>5</v>
      </c>
      <c r="C977" s="43">
        <v>1000</v>
      </c>
      <c r="D977" s="43">
        <v>742</v>
      </c>
      <c r="E977" s="43">
        <f t="shared" si="60"/>
        <v>67.861784251967634</v>
      </c>
      <c r="F977" s="43">
        <f t="shared" si="61"/>
        <v>12.7</v>
      </c>
      <c r="G977" s="43">
        <f t="shared" si="62"/>
        <v>6894.7572799999116</v>
      </c>
      <c r="H977" s="43">
        <f t="shared" si="63"/>
        <v>201.41377565983993</v>
      </c>
      <c r="I977" s="42"/>
    </row>
    <row r="978" spans="1:9" ht="12.75" customHeight="1">
      <c r="A978" s="43">
        <v>250</v>
      </c>
      <c r="B978" s="43">
        <v>5</v>
      </c>
      <c r="C978" s="43">
        <v>1100</v>
      </c>
      <c r="D978" s="43">
        <v>777.6</v>
      </c>
      <c r="E978" s="43">
        <f t="shared" si="60"/>
        <v>67.861784251967634</v>
      </c>
      <c r="F978" s="43">
        <f t="shared" si="61"/>
        <v>12.7</v>
      </c>
      <c r="G978" s="43">
        <f t="shared" si="62"/>
        <v>7584.2330079999028</v>
      </c>
      <c r="H978" s="43">
        <f t="shared" si="63"/>
        <v>211.0772937373201</v>
      </c>
      <c r="I978" s="42"/>
    </row>
    <row r="979" spans="1:9" ht="12.75" customHeight="1">
      <c r="A979" s="43">
        <v>250</v>
      </c>
      <c r="B979" s="43">
        <v>5</v>
      </c>
      <c r="C979" s="43">
        <v>1200</v>
      </c>
      <c r="D979" s="43">
        <v>813.2</v>
      </c>
      <c r="E979" s="43">
        <f t="shared" si="60"/>
        <v>67.861784251967634</v>
      </c>
      <c r="F979" s="43">
        <f t="shared" si="61"/>
        <v>12.7</v>
      </c>
      <c r="G979" s="43">
        <f t="shared" si="62"/>
        <v>8273.708735999895</v>
      </c>
      <c r="H979" s="43">
        <f t="shared" si="63"/>
        <v>220.74081181480031</v>
      </c>
      <c r="I979" s="42"/>
    </row>
    <row r="980" spans="1:9" ht="12.75" customHeight="1">
      <c r="A980" s="43">
        <v>250</v>
      </c>
      <c r="B980" s="43">
        <v>5</v>
      </c>
      <c r="C980" s="43">
        <v>1300</v>
      </c>
      <c r="D980" s="43">
        <v>848.80000000000007</v>
      </c>
      <c r="E980" s="43">
        <f t="shared" si="60"/>
        <v>67.861784251967634</v>
      </c>
      <c r="F980" s="43">
        <f t="shared" si="61"/>
        <v>12.7</v>
      </c>
      <c r="G980" s="43">
        <f t="shared" si="62"/>
        <v>8963.1844639998853</v>
      </c>
      <c r="H980" s="43">
        <f t="shared" si="63"/>
        <v>230.40432989228051</v>
      </c>
      <c r="I980" s="42"/>
    </row>
    <row r="981" spans="1:9" ht="12.75" customHeight="1">
      <c r="A981" s="43">
        <v>250</v>
      </c>
      <c r="B981" s="43">
        <v>5</v>
      </c>
      <c r="C981" s="43">
        <v>1400</v>
      </c>
      <c r="D981" s="43">
        <v>884.40000000000009</v>
      </c>
      <c r="E981" s="43">
        <f t="shared" si="60"/>
        <v>67.861784251967634</v>
      </c>
      <c r="F981" s="43">
        <f t="shared" si="61"/>
        <v>12.7</v>
      </c>
      <c r="G981" s="43">
        <f t="shared" si="62"/>
        <v>9652.6601919998757</v>
      </c>
      <c r="H981" s="43">
        <f t="shared" si="63"/>
        <v>240.06784796976072</v>
      </c>
      <c r="I981" s="42"/>
    </row>
    <row r="982" spans="1:9" ht="12.75" customHeight="1">
      <c r="A982" s="43">
        <v>250</v>
      </c>
      <c r="B982" s="43">
        <v>5</v>
      </c>
      <c r="C982" s="43">
        <v>1500</v>
      </c>
      <c r="D982" s="43">
        <v>920.00000000000011</v>
      </c>
      <c r="E982" s="43">
        <f t="shared" si="60"/>
        <v>67.861784251967634</v>
      </c>
      <c r="F982" s="43">
        <f t="shared" si="61"/>
        <v>12.7</v>
      </c>
      <c r="G982" s="43">
        <f t="shared" si="62"/>
        <v>10342.135919999868</v>
      </c>
      <c r="H982" s="43">
        <f t="shared" si="63"/>
        <v>249.7313660472409</v>
      </c>
      <c r="I982" s="42"/>
    </row>
    <row r="983" spans="1:9" ht="12.75" customHeight="1">
      <c r="A983" s="43">
        <v>250</v>
      </c>
      <c r="B983" s="43">
        <v>5</v>
      </c>
      <c r="C983" s="43">
        <v>1600</v>
      </c>
      <c r="D983" s="43">
        <v>955.60000000000014</v>
      </c>
      <c r="E983" s="43">
        <f t="shared" si="60"/>
        <v>67.861784251967634</v>
      </c>
      <c r="F983" s="43">
        <f t="shared" si="61"/>
        <v>12.7</v>
      </c>
      <c r="G983" s="43">
        <f t="shared" si="62"/>
        <v>11031.611647999858</v>
      </c>
      <c r="H983" s="43">
        <f t="shared" si="63"/>
        <v>259.3948841247211</v>
      </c>
      <c r="I983" s="42"/>
    </row>
    <row r="984" spans="1:9" ht="12.75" customHeight="1">
      <c r="A984" s="43">
        <v>250</v>
      </c>
      <c r="B984" s="43">
        <v>5</v>
      </c>
      <c r="C984" s="43">
        <v>1700</v>
      </c>
      <c r="D984" s="43">
        <v>991.20000000000016</v>
      </c>
      <c r="E984" s="43">
        <f t="shared" si="60"/>
        <v>67.861784251967634</v>
      </c>
      <c r="F984" s="43">
        <f t="shared" si="61"/>
        <v>12.7</v>
      </c>
      <c r="G984" s="43">
        <f t="shared" si="62"/>
        <v>11721.08737599985</v>
      </c>
      <c r="H984" s="43">
        <f t="shared" si="63"/>
        <v>269.05840220220131</v>
      </c>
      <c r="I984" s="42"/>
    </row>
    <row r="985" spans="1:9" ht="12.75" customHeight="1">
      <c r="A985" s="43">
        <v>250</v>
      </c>
      <c r="B985" s="43">
        <v>5</v>
      </c>
      <c r="C985" s="43">
        <v>1800</v>
      </c>
      <c r="D985" s="43">
        <v>1026.8000000000002</v>
      </c>
      <c r="E985" s="43">
        <f t="shared" si="60"/>
        <v>67.861784251967634</v>
      </c>
      <c r="F985" s="43">
        <f t="shared" si="61"/>
        <v>12.7</v>
      </c>
      <c r="G985" s="43">
        <f t="shared" si="62"/>
        <v>12410.563103999841</v>
      </c>
      <c r="H985" s="43">
        <f t="shared" si="63"/>
        <v>278.72192027968151</v>
      </c>
      <c r="I985" s="42"/>
    </row>
    <row r="986" spans="1:9" ht="12.75" customHeight="1">
      <c r="A986" s="43">
        <v>250</v>
      </c>
      <c r="B986" s="43">
        <v>5</v>
      </c>
      <c r="C986" s="43">
        <v>1900</v>
      </c>
      <c r="D986" s="43">
        <v>1062.4000000000001</v>
      </c>
      <c r="E986" s="43">
        <f t="shared" si="60"/>
        <v>67.861784251967634</v>
      </c>
      <c r="F986" s="43">
        <f t="shared" si="61"/>
        <v>12.7</v>
      </c>
      <c r="G986" s="43">
        <f t="shared" si="62"/>
        <v>13100.038831999833</v>
      </c>
      <c r="H986" s="43">
        <f t="shared" si="63"/>
        <v>288.38543835716166</v>
      </c>
      <c r="I986" s="42"/>
    </row>
    <row r="987" spans="1:9" ht="12.75" customHeight="1">
      <c r="A987" s="43">
        <v>250</v>
      </c>
      <c r="B987" s="43">
        <v>5</v>
      </c>
      <c r="C987" s="43">
        <v>2000</v>
      </c>
      <c r="D987" s="43">
        <v>1098</v>
      </c>
      <c r="E987" s="43">
        <f t="shared" si="60"/>
        <v>67.861784251967634</v>
      </c>
      <c r="F987" s="43">
        <f t="shared" si="61"/>
        <v>12.7</v>
      </c>
      <c r="G987" s="43">
        <f t="shared" si="62"/>
        <v>13789.514559999823</v>
      </c>
      <c r="H987" s="43">
        <f t="shared" si="63"/>
        <v>298.04895643464181</v>
      </c>
      <c r="I987" s="42"/>
    </row>
    <row r="988" spans="1:9" ht="12.75" customHeight="1">
      <c r="A988" s="43">
        <v>250</v>
      </c>
      <c r="B988" s="43">
        <v>6</v>
      </c>
      <c r="C988" s="43">
        <v>50</v>
      </c>
      <c r="D988" s="43">
        <v>331</v>
      </c>
      <c r="E988" s="43">
        <f t="shared" si="60"/>
        <v>67.861784251967634</v>
      </c>
      <c r="F988" s="43">
        <f t="shared" si="61"/>
        <v>15.24</v>
      </c>
      <c r="G988" s="43">
        <f t="shared" si="62"/>
        <v>344.73786399999557</v>
      </c>
      <c r="H988" s="43">
        <f t="shared" si="63"/>
        <v>89.849002349605144</v>
      </c>
      <c r="I988" s="42"/>
    </row>
    <row r="989" spans="1:9" ht="12.75" customHeight="1">
      <c r="A989" s="43">
        <v>250</v>
      </c>
      <c r="B989" s="43">
        <v>6</v>
      </c>
      <c r="C989" s="43">
        <v>60</v>
      </c>
      <c r="D989" s="43">
        <v>339.8</v>
      </c>
      <c r="E989" s="43">
        <f t="shared" si="60"/>
        <v>67.861784251967634</v>
      </c>
      <c r="F989" s="43">
        <f t="shared" si="61"/>
        <v>15.24</v>
      </c>
      <c r="G989" s="43">
        <f t="shared" si="62"/>
        <v>413.6854367999947</v>
      </c>
      <c r="H989" s="43">
        <f t="shared" si="63"/>
        <v>92.237737155274417</v>
      </c>
      <c r="I989" s="42"/>
    </row>
    <row r="990" spans="1:9" ht="12.75" customHeight="1">
      <c r="A990" s="43">
        <v>250</v>
      </c>
      <c r="B990" s="43">
        <v>6</v>
      </c>
      <c r="C990" s="43">
        <v>70</v>
      </c>
      <c r="D990" s="43">
        <v>348.6</v>
      </c>
      <c r="E990" s="43">
        <f t="shared" si="60"/>
        <v>67.861784251967634</v>
      </c>
      <c r="F990" s="43">
        <f t="shared" si="61"/>
        <v>15.24</v>
      </c>
      <c r="G990" s="43">
        <f t="shared" si="62"/>
        <v>482.63300959999384</v>
      </c>
      <c r="H990" s="43">
        <f t="shared" si="63"/>
        <v>94.626471960943675</v>
      </c>
      <c r="I990" s="42"/>
    </row>
    <row r="991" spans="1:9" ht="12.75" customHeight="1">
      <c r="A991" s="43">
        <v>250</v>
      </c>
      <c r="B991" s="43">
        <v>6</v>
      </c>
      <c r="C991" s="43">
        <v>80</v>
      </c>
      <c r="D991" s="43">
        <v>357.40000000000003</v>
      </c>
      <c r="E991" s="43">
        <f t="shared" si="60"/>
        <v>67.861784251967634</v>
      </c>
      <c r="F991" s="43">
        <f t="shared" si="61"/>
        <v>15.24</v>
      </c>
      <c r="G991" s="43">
        <f t="shared" si="62"/>
        <v>551.58058239999298</v>
      </c>
      <c r="H991" s="43">
        <f t="shared" si="63"/>
        <v>97.015206766612934</v>
      </c>
      <c r="I991" s="42"/>
    </row>
    <row r="992" spans="1:9" ht="12.75" customHeight="1">
      <c r="A992" s="43">
        <v>250</v>
      </c>
      <c r="B992" s="43">
        <v>6</v>
      </c>
      <c r="C992" s="43">
        <v>90</v>
      </c>
      <c r="D992" s="43">
        <v>366.20000000000005</v>
      </c>
      <c r="E992" s="43">
        <f t="shared" si="60"/>
        <v>67.861784251967634</v>
      </c>
      <c r="F992" s="43">
        <f t="shared" si="61"/>
        <v>15.24</v>
      </c>
      <c r="G992" s="43">
        <f t="shared" si="62"/>
        <v>620.52815519999206</v>
      </c>
      <c r="H992" s="43">
        <f t="shared" si="63"/>
        <v>99.403941572282207</v>
      </c>
      <c r="I992" s="42"/>
    </row>
    <row r="993" spans="1:9" ht="12.75" customHeight="1">
      <c r="A993" s="43">
        <v>250</v>
      </c>
      <c r="B993" s="43">
        <v>6</v>
      </c>
      <c r="C993" s="43">
        <v>100</v>
      </c>
      <c r="D993" s="43">
        <v>375</v>
      </c>
      <c r="E993" s="43">
        <f t="shared" si="60"/>
        <v>67.861784251967634</v>
      </c>
      <c r="F993" s="43">
        <f t="shared" si="61"/>
        <v>15.24</v>
      </c>
      <c r="G993" s="43">
        <f t="shared" si="62"/>
        <v>689.47572799999114</v>
      </c>
      <c r="H993" s="43">
        <f t="shared" si="63"/>
        <v>101.79267637795145</v>
      </c>
      <c r="I993" s="42"/>
    </row>
    <row r="994" spans="1:9" ht="12.75" customHeight="1">
      <c r="A994" s="43">
        <v>250</v>
      </c>
      <c r="B994" s="43">
        <v>6</v>
      </c>
      <c r="C994" s="43">
        <v>150</v>
      </c>
      <c r="D994" s="43">
        <v>411.5</v>
      </c>
      <c r="E994" s="43">
        <f t="shared" si="60"/>
        <v>67.861784251967634</v>
      </c>
      <c r="F994" s="43">
        <f t="shared" si="61"/>
        <v>15.24</v>
      </c>
      <c r="G994" s="43">
        <f t="shared" si="62"/>
        <v>1034.2135919999869</v>
      </c>
      <c r="H994" s="43">
        <f t="shared" si="63"/>
        <v>111.70049687873872</v>
      </c>
      <c r="I994" s="42"/>
    </row>
    <row r="995" spans="1:9" ht="12.75" customHeight="1">
      <c r="A995" s="43">
        <v>250</v>
      </c>
      <c r="B995" s="43">
        <v>6</v>
      </c>
      <c r="C995" s="43">
        <v>200</v>
      </c>
      <c r="D995" s="43">
        <v>448</v>
      </c>
      <c r="E995" s="43">
        <f t="shared" si="60"/>
        <v>67.861784251967634</v>
      </c>
      <c r="F995" s="43">
        <f t="shared" si="61"/>
        <v>15.24</v>
      </c>
      <c r="G995" s="43">
        <f t="shared" si="62"/>
        <v>1378.9514559999823</v>
      </c>
      <c r="H995" s="43">
        <f t="shared" si="63"/>
        <v>121.608317379526</v>
      </c>
      <c r="I995" s="42"/>
    </row>
    <row r="996" spans="1:9" ht="12.75" customHeight="1">
      <c r="A996" s="43">
        <v>250</v>
      </c>
      <c r="B996" s="43">
        <v>6</v>
      </c>
      <c r="C996" s="43">
        <v>250</v>
      </c>
      <c r="D996" s="43">
        <v>484.5</v>
      </c>
      <c r="E996" s="43">
        <f t="shared" si="60"/>
        <v>67.861784251967634</v>
      </c>
      <c r="F996" s="43">
        <f t="shared" si="61"/>
        <v>15.24</v>
      </c>
      <c r="G996" s="43">
        <f t="shared" si="62"/>
        <v>1723.6893199999779</v>
      </c>
      <c r="H996" s="43">
        <f t="shared" si="63"/>
        <v>131.51613788031327</v>
      </c>
      <c r="I996" s="42"/>
    </row>
    <row r="997" spans="1:9" ht="12.75" customHeight="1">
      <c r="A997" s="43">
        <v>250</v>
      </c>
      <c r="B997" s="43">
        <v>6</v>
      </c>
      <c r="C997" s="43">
        <v>300</v>
      </c>
      <c r="D997" s="43">
        <v>521</v>
      </c>
      <c r="E997" s="43">
        <f t="shared" si="60"/>
        <v>67.861784251967634</v>
      </c>
      <c r="F997" s="43">
        <f t="shared" si="61"/>
        <v>15.24</v>
      </c>
      <c r="G997" s="43">
        <f t="shared" si="62"/>
        <v>2068.4271839999737</v>
      </c>
      <c r="H997" s="43">
        <f t="shared" si="63"/>
        <v>141.42395838110056</v>
      </c>
      <c r="I997" s="42"/>
    </row>
    <row r="998" spans="1:9" ht="12.75" customHeight="1">
      <c r="A998" s="43">
        <v>250</v>
      </c>
      <c r="B998" s="43">
        <v>6</v>
      </c>
      <c r="C998" s="43">
        <v>350</v>
      </c>
      <c r="D998" s="43">
        <v>554.5</v>
      </c>
      <c r="E998" s="43">
        <f t="shared" si="60"/>
        <v>67.861784251967634</v>
      </c>
      <c r="F998" s="43">
        <f t="shared" si="61"/>
        <v>15.24</v>
      </c>
      <c r="G998" s="43">
        <f t="shared" si="62"/>
        <v>2413.1650479999689</v>
      </c>
      <c r="H998" s="43">
        <f t="shared" si="63"/>
        <v>150.51743747086422</v>
      </c>
      <c r="I998" s="42"/>
    </row>
    <row r="999" spans="1:9" ht="12.75" customHeight="1">
      <c r="A999" s="43">
        <v>250</v>
      </c>
      <c r="B999" s="43">
        <v>6</v>
      </c>
      <c r="C999" s="43">
        <v>400</v>
      </c>
      <c r="D999" s="43">
        <v>588</v>
      </c>
      <c r="E999" s="43">
        <f t="shared" si="60"/>
        <v>67.861784251967634</v>
      </c>
      <c r="F999" s="43">
        <f t="shared" si="61"/>
        <v>15.24</v>
      </c>
      <c r="G999" s="43">
        <f t="shared" si="62"/>
        <v>2757.9029119999645</v>
      </c>
      <c r="H999" s="43">
        <f t="shared" si="63"/>
        <v>159.61091656062786</v>
      </c>
      <c r="I999" s="42"/>
    </row>
    <row r="1000" spans="1:9" ht="12.75" customHeight="1">
      <c r="A1000" s="43">
        <v>250</v>
      </c>
      <c r="B1000" s="43">
        <v>6</v>
      </c>
      <c r="C1000" s="43">
        <v>450</v>
      </c>
      <c r="D1000" s="43">
        <v>621.5</v>
      </c>
      <c r="E1000" s="43">
        <f t="shared" si="60"/>
        <v>67.861784251967634</v>
      </c>
      <c r="F1000" s="43">
        <f t="shared" si="61"/>
        <v>15.24</v>
      </c>
      <c r="G1000" s="43">
        <f t="shared" si="62"/>
        <v>3102.6407759999602</v>
      </c>
      <c r="H1000" s="43">
        <f t="shared" si="63"/>
        <v>168.70439565039155</v>
      </c>
      <c r="I1000" s="42"/>
    </row>
    <row r="1001" spans="1:9" ht="12.75" customHeight="1">
      <c r="A1001" s="43">
        <v>250</v>
      </c>
      <c r="B1001" s="43">
        <v>6</v>
      </c>
      <c r="C1001" s="43">
        <v>500</v>
      </c>
      <c r="D1001" s="43">
        <v>655</v>
      </c>
      <c r="E1001" s="43">
        <f t="shared" si="60"/>
        <v>67.861784251967634</v>
      </c>
      <c r="F1001" s="43">
        <f t="shared" si="61"/>
        <v>15.24</v>
      </c>
      <c r="G1001" s="43">
        <f t="shared" si="62"/>
        <v>3447.3786399999558</v>
      </c>
      <c r="H1001" s="43">
        <f t="shared" si="63"/>
        <v>177.79787474015518</v>
      </c>
      <c r="I1001" s="42"/>
    </row>
    <row r="1002" spans="1:9" ht="12.75" customHeight="1">
      <c r="A1002" s="43">
        <v>250</v>
      </c>
      <c r="B1002" s="43">
        <v>6</v>
      </c>
      <c r="C1002" s="43">
        <v>550</v>
      </c>
      <c r="D1002" s="43">
        <v>685.1</v>
      </c>
      <c r="E1002" s="43">
        <f t="shared" si="60"/>
        <v>67.861784251967634</v>
      </c>
      <c r="F1002" s="43">
        <f t="shared" si="61"/>
        <v>15.24</v>
      </c>
      <c r="G1002" s="43">
        <f t="shared" si="62"/>
        <v>3792.1165039999514</v>
      </c>
      <c r="H1002" s="43">
        <f t="shared" si="63"/>
        <v>185.96843356409209</v>
      </c>
      <c r="I1002" s="42"/>
    </row>
    <row r="1003" spans="1:9" ht="12.75" customHeight="1">
      <c r="A1003" s="43">
        <v>250</v>
      </c>
      <c r="B1003" s="43">
        <v>6</v>
      </c>
      <c r="C1003" s="43">
        <v>600</v>
      </c>
      <c r="D1003" s="43">
        <v>715.2</v>
      </c>
      <c r="E1003" s="43">
        <f t="shared" si="60"/>
        <v>67.861784251967634</v>
      </c>
      <c r="F1003" s="43">
        <f t="shared" si="61"/>
        <v>15.24</v>
      </c>
      <c r="G1003" s="43">
        <f t="shared" si="62"/>
        <v>4136.8543679999475</v>
      </c>
      <c r="H1003" s="43">
        <f t="shared" si="63"/>
        <v>194.13899238802901</v>
      </c>
      <c r="I1003" s="42"/>
    </row>
    <row r="1004" spans="1:9" ht="12.75" customHeight="1">
      <c r="A1004" s="43">
        <v>250</v>
      </c>
      <c r="B1004" s="43">
        <v>6</v>
      </c>
      <c r="C1004" s="43">
        <v>650</v>
      </c>
      <c r="D1004" s="43">
        <v>745.30000000000007</v>
      </c>
      <c r="E1004" s="43">
        <f t="shared" si="60"/>
        <v>67.861784251967634</v>
      </c>
      <c r="F1004" s="43">
        <f t="shared" si="61"/>
        <v>15.24</v>
      </c>
      <c r="G1004" s="43">
        <f t="shared" si="62"/>
        <v>4481.5922319999427</v>
      </c>
      <c r="H1004" s="43">
        <f t="shared" si="63"/>
        <v>202.30955121196595</v>
      </c>
      <c r="I1004" s="42"/>
    </row>
    <row r="1005" spans="1:9" ht="12.75" customHeight="1">
      <c r="A1005" s="43">
        <v>250</v>
      </c>
      <c r="B1005" s="43">
        <v>6</v>
      </c>
      <c r="C1005" s="43">
        <v>700</v>
      </c>
      <c r="D1005" s="43">
        <v>775.40000000000009</v>
      </c>
      <c r="E1005" s="43">
        <f t="shared" si="60"/>
        <v>67.861784251967634</v>
      </c>
      <c r="F1005" s="43">
        <f t="shared" si="61"/>
        <v>15.24</v>
      </c>
      <c r="G1005" s="43">
        <f t="shared" si="62"/>
        <v>4826.3300959999378</v>
      </c>
      <c r="H1005" s="43">
        <f t="shared" si="63"/>
        <v>210.48011003590281</v>
      </c>
      <c r="I1005" s="42"/>
    </row>
    <row r="1006" spans="1:9" ht="12.75" customHeight="1">
      <c r="A1006" s="43">
        <v>250</v>
      </c>
      <c r="B1006" s="43">
        <v>6</v>
      </c>
      <c r="C1006" s="43">
        <v>750</v>
      </c>
      <c r="D1006" s="43">
        <v>805.50000000000011</v>
      </c>
      <c r="E1006" s="43">
        <f t="shared" si="60"/>
        <v>67.861784251967634</v>
      </c>
      <c r="F1006" s="43">
        <f t="shared" si="61"/>
        <v>15.24</v>
      </c>
      <c r="G1006" s="43">
        <f t="shared" si="62"/>
        <v>5171.0679599999339</v>
      </c>
      <c r="H1006" s="43">
        <f t="shared" si="63"/>
        <v>218.65066885983975</v>
      </c>
      <c r="I1006" s="42"/>
    </row>
    <row r="1007" spans="1:9" ht="12.75" customHeight="1">
      <c r="A1007" s="43">
        <v>250</v>
      </c>
      <c r="B1007" s="43">
        <v>6</v>
      </c>
      <c r="C1007" s="43">
        <v>800</v>
      </c>
      <c r="D1007" s="43">
        <v>835.60000000000014</v>
      </c>
      <c r="E1007" s="43">
        <f t="shared" si="60"/>
        <v>67.861784251967634</v>
      </c>
      <c r="F1007" s="43">
        <f t="shared" si="61"/>
        <v>15.24</v>
      </c>
      <c r="G1007" s="43">
        <f t="shared" si="62"/>
        <v>5515.8058239999291</v>
      </c>
      <c r="H1007" s="43">
        <f t="shared" si="63"/>
        <v>226.82122768377667</v>
      </c>
      <c r="I1007" s="42"/>
    </row>
    <row r="1008" spans="1:9" ht="12.75" customHeight="1">
      <c r="A1008" s="43">
        <v>250</v>
      </c>
      <c r="B1008" s="43">
        <v>6</v>
      </c>
      <c r="C1008" s="43">
        <v>850</v>
      </c>
      <c r="D1008" s="43">
        <v>865.70000000000016</v>
      </c>
      <c r="E1008" s="43">
        <f t="shared" si="60"/>
        <v>67.861784251967634</v>
      </c>
      <c r="F1008" s="43">
        <f t="shared" si="61"/>
        <v>15.24</v>
      </c>
      <c r="G1008" s="43">
        <f t="shared" si="62"/>
        <v>5860.5436879999252</v>
      </c>
      <c r="H1008" s="43">
        <f t="shared" si="63"/>
        <v>234.99178650771356</v>
      </c>
      <c r="I1008" s="42"/>
    </row>
    <row r="1009" spans="1:9" ht="12.75" customHeight="1">
      <c r="A1009" s="43">
        <v>250</v>
      </c>
      <c r="B1009" s="43">
        <v>6</v>
      </c>
      <c r="C1009" s="43">
        <v>900</v>
      </c>
      <c r="D1009" s="43">
        <v>895.80000000000018</v>
      </c>
      <c r="E1009" s="43">
        <f t="shared" si="60"/>
        <v>67.861784251967634</v>
      </c>
      <c r="F1009" s="43">
        <f t="shared" si="61"/>
        <v>15.24</v>
      </c>
      <c r="G1009" s="43">
        <f t="shared" si="62"/>
        <v>6205.2815519999203</v>
      </c>
      <c r="H1009" s="43">
        <f t="shared" si="63"/>
        <v>243.16234533165047</v>
      </c>
      <c r="I1009" s="42"/>
    </row>
    <row r="1010" spans="1:9" ht="12.75" customHeight="1">
      <c r="A1010" s="43">
        <v>250</v>
      </c>
      <c r="B1010" s="43">
        <v>6</v>
      </c>
      <c r="C1010" s="43">
        <v>950</v>
      </c>
      <c r="D1010" s="43">
        <v>925.9000000000002</v>
      </c>
      <c r="E1010" s="43">
        <f t="shared" si="60"/>
        <v>67.861784251967634</v>
      </c>
      <c r="F1010" s="43">
        <f t="shared" si="61"/>
        <v>15.24</v>
      </c>
      <c r="G1010" s="43">
        <f t="shared" si="62"/>
        <v>6550.0194159999164</v>
      </c>
      <c r="H1010" s="43">
        <f t="shared" si="63"/>
        <v>251.33290415558739</v>
      </c>
      <c r="I1010" s="42"/>
    </row>
    <row r="1011" spans="1:9" ht="12.75" customHeight="1">
      <c r="A1011" s="43">
        <v>250</v>
      </c>
      <c r="B1011" s="43">
        <v>6</v>
      </c>
      <c r="C1011" s="43">
        <v>1000</v>
      </c>
      <c r="D1011" s="43">
        <v>956</v>
      </c>
      <c r="E1011" s="43">
        <f t="shared" si="60"/>
        <v>67.861784251967634</v>
      </c>
      <c r="F1011" s="43">
        <f t="shared" si="61"/>
        <v>15.24</v>
      </c>
      <c r="G1011" s="43">
        <f t="shared" si="62"/>
        <v>6894.7572799999116</v>
      </c>
      <c r="H1011" s="43">
        <f t="shared" si="63"/>
        <v>259.50346297952422</v>
      </c>
      <c r="I1011" s="42"/>
    </row>
    <row r="1012" spans="1:9" ht="12.75" customHeight="1">
      <c r="A1012" s="43">
        <v>250</v>
      </c>
      <c r="B1012" s="43">
        <v>6</v>
      </c>
      <c r="C1012" s="43">
        <v>1100</v>
      </c>
      <c r="D1012" s="43">
        <v>1010.1</v>
      </c>
      <c r="E1012" s="43">
        <f t="shared" si="60"/>
        <v>67.861784251967634</v>
      </c>
      <c r="F1012" s="43">
        <f t="shared" si="61"/>
        <v>15.24</v>
      </c>
      <c r="G1012" s="43">
        <f t="shared" si="62"/>
        <v>7584.2330079999028</v>
      </c>
      <c r="H1012" s="43">
        <f t="shared" si="63"/>
        <v>274.18875309165003</v>
      </c>
      <c r="I1012" s="42"/>
    </row>
    <row r="1013" spans="1:9" ht="12.75" customHeight="1">
      <c r="A1013" s="43">
        <v>250</v>
      </c>
      <c r="B1013" s="43">
        <v>6</v>
      </c>
      <c r="C1013" s="43">
        <v>1200</v>
      </c>
      <c r="D1013" s="43">
        <v>1064.2</v>
      </c>
      <c r="E1013" s="43">
        <f t="shared" si="60"/>
        <v>67.861784251967634</v>
      </c>
      <c r="F1013" s="43">
        <f t="shared" si="61"/>
        <v>15.24</v>
      </c>
      <c r="G1013" s="43">
        <f t="shared" si="62"/>
        <v>8273.708735999895</v>
      </c>
      <c r="H1013" s="43">
        <f t="shared" si="63"/>
        <v>288.87404320377584</v>
      </c>
      <c r="I1013" s="42"/>
    </row>
    <row r="1014" spans="1:9" ht="12.75" customHeight="1">
      <c r="A1014" s="43">
        <v>250</v>
      </c>
      <c r="B1014" s="43">
        <v>6</v>
      </c>
      <c r="C1014" s="43">
        <v>1300</v>
      </c>
      <c r="D1014" s="43">
        <v>1118.3</v>
      </c>
      <c r="E1014" s="43">
        <f t="shared" si="60"/>
        <v>67.861784251967634</v>
      </c>
      <c r="F1014" s="43">
        <f t="shared" si="61"/>
        <v>15.24</v>
      </c>
      <c r="G1014" s="43">
        <f t="shared" si="62"/>
        <v>8963.1844639998853</v>
      </c>
      <c r="H1014" s="43">
        <f t="shared" si="63"/>
        <v>303.5593333159016</v>
      </c>
      <c r="I1014" s="42"/>
    </row>
    <row r="1015" spans="1:9" ht="12.75" customHeight="1">
      <c r="A1015" s="43">
        <v>250</v>
      </c>
      <c r="B1015" s="43">
        <v>6</v>
      </c>
      <c r="C1015" s="43">
        <v>1400</v>
      </c>
      <c r="D1015" s="43">
        <v>1172.3999999999999</v>
      </c>
      <c r="E1015" s="43">
        <f t="shared" si="60"/>
        <v>67.861784251967634</v>
      </c>
      <c r="F1015" s="43">
        <f t="shared" si="61"/>
        <v>15.24</v>
      </c>
      <c r="G1015" s="43">
        <f t="shared" si="62"/>
        <v>9652.6601919998757</v>
      </c>
      <c r="H1015" s="43">
        <f t="shared" si="63"/>
        <v>318.24462342802735</v>
      </c>
      <c r="I1015" s="42"/>
    </row>
    <row r="1016" spans="1:9" ht="12.75" customHeight="1">
      <c r="A1016" s="43">
        <v>250</v>
      </c>
      <c r="B1016" s="43">
        <v>6</v>
      </c>
      <c r="C1016" s="43">
        <v>1500</v>
      </c>
      <c r="D1016" s="43">
        <v>1226.4999999999998</v>
      </c>
      <c r="E1016" s="43">
        <f t="shared" si="60"/>
        <v>67.861784251967634</v>
      </c>
      <c r="F1016" s="43">
        <f t="shared" si="61"/>
        <v>15.24</v>
      </c>
      <c r="G1016" s="43">
        <f t="shared" si="62"/>
        <v>10342.135919999868</v>
      </c>
      <c r="H1016" s="43">
        <f t="shared" si="63"/>
        <v>332.92991354015311</v>
      </c>
      <c r="I1016" s="42"/>
    </row>
    <row r="1017" spans="1:9" ht="12.75" customHeight="1">
      <c r="A1017" s="43">
        <v>250</v>
      </c>
      <c r="B1017" s="43">
        <v>6</v>
      </c>
      <c r="C1017" s="43">
        <v>1600</v>
      </c>
      <c r="D1017" s="43">
        <v>1280.5999999999997</v>
      </c>
      <c r="E1017" s="43">
        <f t="shared" si="60"/>
        <v>67.861784251967634</v>
      </c>
      <c r="F1017" s="43">
        <f t="shared" si="61"/>
        <v>15.24</v>
      </c>
      <c r="G1017" s="43">
        <f t="shared" si="62"/>
        <v>11031.611647999858</v>
      </c>
      <c r="H1017" s="43">
        <f t="shared" si="63"/>
        <v>347.61520365227886</v>
      </c>
      <c r="I1017" s="42"/>
    </row>
    <row r="1018" spans="1:9" ht="12.75" customHeight="1">
      <c r="A1018" s="43">
        <v>250</v>
      </c>
      <c r="B1018" s="43">
        <v>6</v>
      </c>
      <c r="C1018" s="43">
        <v>1700</v>
      </c>
      <c r="D1018" s="43">
        <v>1334.6999999999996</v>
      </c>
      <c r="E1018" s="43">
        <f t="shared" si="60"/>
        <v>67.861784251967634</v>
      </c>
      <c r="F1018" s="43">
        <f t="shared" si="61"/>
        <v>15.24</v>
      </c>
      <c r="G1018" s="43">
        <f t="shared" si="62"/>
        <v>11721.08737599985</v>
      </c>
      <c r="H1018" s="43">
        <f t="shared" si="63"/>
        <v>362.30049376440473</v>
      </c>
      <c r="I1018" s="42"/>
    </row>
    <row r="1019" spans="1:9" ht="12.75" customHeight="1">
      <c r="A1019" s="43">
        <v>250</v>
      </c>
      <c r="B1019" s="43">
        <v>6</v>
      </c>
      <c r="C1019" s="43">
        <v>1800</v>
      </c>
      <c r="D1019" s="43">
        <v>1388.7999999999995</v>
      </c>
      <c r="E1019" s="43">
        <f t="shared" si="60"/>
        <v>67.861784251967634</v>
      </c>
      <c r="F1019" s="43">
        <f t="shared" si="61"/>
        <v>15.24</v>
      </c>
      <c r="G1019" s="43">
        <f t="shared" si="62"/>
        <v>12410.563103999841</v>
      </c>
      <c r="H1019" s="43">
        <f t="shared" si="63"/>
        <v>376.98578387653043</v>
      </c>
      <c r="I1019" s="42"/>
    </row>
    <row r="1020" spans="1:9" ht="12.75" customHeight="1">
      <c r="A1020" s="43">
        <v>250</v>
      </c>
      <c r="B1020" s="43">
        <v>6</v>
      </c>
      <c r="C1020" s="43">
        <v>1900</v>
      </c>
      <c r="D1020" s="43">
        <v>1442.8999999999994</v>
      </c>
      <c r="E1020" s="43">
        <f t="shared" si="60"/>
        <v>67.861784251967634</v>
      </c>
      <c r="F1020" s="43">
        <f t="shared" si="61"/>
        <v>15.24</v>
      </c>
      <c r="G1020" s="43">
        <f t="shared" si="62"/>
        <v>13100.038831999833</v>
      </c>
      <c r="H1020" s="43">
        <f t="shared" si="63"/>
        <v>391.67107398865619</v>
      </c>
      <c r="I1020" s="42"/>
    </row>
    <row r="1021" spans="1:9" ht="12.75" customHeight="1">
      <c r="A1021" s="43">
        <v>250</v>
      </c>
      <c r="B1021" s="43">
        <v>6</v>
      </c>
      <c r="C1021" s="43">
        <v>2000</v>
      </c>
      <c r="D1021" s="43">
        <v>1497</v>
      </c>
      <c r="E1021" s="43">
        <f t="shared" si="60"/>
        <v>67.861784251967634</v>
      </c>
      <c r="F1021" s="43">
        <f t="shared" si="61"/>
        <v>15.24</v>
      </c>
      <c r="G1021" s="43">
        <f t="shared" si="62"/>
        <v>13789.514559999823</v>
      </c>
      <c r="H1021" s="43">
        <f t="shared" si="63"/>
        <v>406.35636410078217</v>
      </c>
      <c r="I1021" s="42"/>
    </row>
    <row r="1022" spans="1:9" ht="12.75" customHeight="1">
      <c r="A1022" s="43">
        <v>300</v>
      </c>
      <c r="B1022" s="43">
        <v>2</v>
      </c>
      <c r="C1022" s="43">
        <v>50</v>
      </c>
      <c r="D1022" s="43">
        <v>326</v>
      </c>
      <c r="E1022" s="43">
        <f t="shared" si="60"/>
        <v>81.434141102361153</v>
      </c>
      <c r="F1022" s="43">
        <f t="shared" si="61"/>
        <v>5.08</v>
      </c>
      <c r="G1022" s="43">
        <f t="shared" si="62"/>
        <v>344.73786399999557</v>
      </c>
      <c r="H1022" s="43">
        <f t="shared" si="63"/>
        <v>88.491766664565787</v>
      </c>
      <c r="I1022" s="42"/>
    </row>
    <row r="1023" spans="1:9" ht="12.75" customHeight="1">
      <c r="A1023" s="43">
        <v>300</v>
      </c>
      <c r="B1023" s="43">
        <v>2</v>
      </c>
      <c r="C1023" s="43">
        <v>60</v>
      </c>
      <c r="D1023" s="43">
        <v>328.2</v>
      </c>
      <c r="E1023" s="43">
        <f t="shared" si="60"/>
        <v>81.434141102361153</v>
      </c>
      <c r="F1023" s="43">
        <f t="shared" si="61"/>
        <v>5.08</v>
      </c>
      <c r="G1023" s="43">
        <f t="shared" si="62"/>
        <v>413.6854367999947</v>
      </c>
      <c r="H1023" s="43">
        <f t="shared" si="63"/>
        <v>89.088950365983095</v>
      </c>
      <c r="I1023" s="42"/>
    </row>
    <row r="1024" spans="1:9" ht="12.75" customHeight="1">
      <c r="A1024" s="43">
        <v>300</v>
      </c>
      <c r="B1024" s="43">
        <v>2</v>
      </c>
      <c r="C1024" s="43">
        <v>70</v>
      </c>
      <c r="D1024" s="43">
        <v>330.4</v>
      </c>
      <c r="E1024" s="43">
        <f t="shared" si="60"/>
        <v>81.434141102361153</v>
      </c>
      <c r="F1024" s="43">
        <f t="shared" si="61"/>
        <v>5.08</v>
      </c>
      <c r="G1024" s="43">
        <f t="shared" si="62"/>
        <v>482.63300959999384</v>
      </c>
      <c r="H1024" s="43">
        <f t="shared" si="63"/>
        <v>89.686134067400431</v>
      </c>
      <c r="I1024" s="42"/>
    </row>
    <row r="1025" spans="1:9" ht="12.75" customHeight="1">
      <c r="A1025" s="43">
        <v>300</v>
      </c>
      <c r="B1025" s="43">
        <v>2</v>
      </c>
      <c r="C1025" s="43">
        <v>80</v>
      </c>
      <c r="D1025" s="43">
        <v>332.59999999999997</v>
      </c>
      <c r="E1025" s="43">
        <f t="shared" si="60"/>
        <v>81.434141102361153</v>
      </c>
      <c r="F1025" s="43">
        <f t="shared" si="61"/>
        <v>5.08</v>
      </c>
      <c r="G1025" s="43">
        <f t="shared" si="62"/>
        <v>551.58058239999298</v>
      </c>
      <c r="H1025" s="43">
        <f t="shared" si="63"/>
        <v>90.283317768817739</v>
      </c>
      <c r="I1025" s="42"/>
    </row>
    <row r="1026" spans="1:9" ht="12.75" customHeight="1">
      <c r="A1026" s="43">
        <v>300</v>
      </c>
      <c r="B1026" s="43">
        <v>2</v>
      </c>
      <c r="C1026" s="43">
        <v>90</v>
      </c>
      <c r="D1026" s="43">
        <v>334.79999999999995</v>
      </c>
      <c r="E1026" s="43">
        <f t="shared" si="60"/>
        <v>81.434141102361153</v>
      </c>
      <c r="F1026" s="43">
        <f t="shared" si="61"/>
        <v>5.08</v>
      </c>
      <c r="G1026" s="43">
        <f t="shared" si="62"/>
        <v>620.52815519999206</v>
      </c>
      <c r="H1026" s="43">
        <f t="shared" si="63"/>
        <v>90.880501470235046</v>
      </c>
      <c r="I1026" s="42"/>
    </row>
    <row r="1027" spans="1:9" ht="12.75" customHeight="1">
      <c r="A1027" s="43">
        <v>300</v>
      </c>
      <c r="B1027" s="43">
        <v>2</v>
      </c>
      <c r="C1027" s="43">
        <v>100</v>
      </c>
      <c r="D1027" s="43">
        <v>337</v>
      </c>
      <c r="E1027" s="43">
        <f t="shared" ref="E1027:E1090" si="64">A1027/145.03773800722/0.0254</f>
        <v>81.434141102361153</v>
      </c>
      <c r="F1027" s="43">
        <f t="shared" ref="F1027:F1090" si="65">B1027*2.54</f>
        <v>5.08</v>
      </c>
      <c r="G1027" s="43">
        <f t="shared" ref="G1027:G1090" si="66">C1027/0.14503773800722</f>
        <v>689.47572799999114</v>
      </c>
      <c r="H1027" s="43">
        <f t="shared" ref="H1027:H1090" si="67">D1027/145.03773800722/0.0254</f>
        <v>91.477685171652368</v>
      </c>
      <c r="I1027" s="42"/>
    </row>
    <row r="1028" spans="1:9" ht="12.75" customHeight="1">
      <c r="A1028" s="43">
        <v>300</v>
      </c>
      <c r="B1028" s="43">
        <v>2</v>
      </c>
      <c r="C1028" s="43">
        <v>150</v>
      </c>
      <c r="D1028" s="43">
        <v>341.5</v>
      </c>
      <c r="E1028" s="43">
        <f t="shared" si="64"/>
        <v>81.434141102361153</v>
      </c>
      <c r="F1028" s="43">
        <f t="shared" si="65"/>
        <v>5.08</v>
      </c>
      <c r="G1028" s="43">
        <f t="shared" si="66"/>
        <v>1034.2135919999869</v>
      </c>
      <c r="H1028" s="43">
        <f t="shared" si="67"/>
        <v>92.69919728818779</v>
      </c>
      <c r="I1028" s="42"/>
    </row>
    <row r="1029" spans="1:9" ht="12.75" customHeight="1">
      <c r="A1029" s="43">
        <v>300</v>
      </c>
      <c r="B1029" s="43">
        <v>2</v>
      </c>
      <c r="C1029" s="43">
        <v>200</v>
      </c>
      <c r="D1029" s="43">
        <v>346</v>
      </c>
      <c r="E1029" s="43">
        <f t="shared" si="64"/>
        <v>81.434141102361153</v>
      </c>
      <c r="F1029" s="43">
        <f t="shared" si="65"/>
        <v>5.08</v>
      </c>
      <c r="G1029" s="43">
        <f t="shared" si="66"/>
        <v>1378.9514559999823</v>
      </c>
      <c r="H1029" s="43">
        <f t="shared" si="67"/>
        <v>93.920709404723198</v>
      </c>
      <c r="I1029" s="42"/>
    </row>
    <row r="1030" spans="1:9" ht="12.75" customHeight="1">
      <c r="A1030" s="43">
        <v>300</v>
      </c>
      <c r="B1030" s="43">
        <v>2</v>
      </c>
      <c r="C1030" s="43">
        <v>250</v>
      </c>
      <c r="D1030" s="43">
        <v>350.5</v>
      </c>
      <c r="E1030" s="43">
        <f t="shared" si="64"/>
        <v>81.434141102361153</v>
      </c>
      <c r="F1030" s="43">
        <f t="shared" si="65"/>
        <v>5.08</v>
      </c>
      <c r="G1030" s="43">
        <f t="shared" si="66"/>
        <v>1723.6893199999779</v>
      </c>
      <c r="H1030" s="43">
        <f t="shared" si="67"/>
        <v>95.14222152125862</v>
      </c>
      <c r="I1030" s="42"/>
    </row>
    <row r="1031" spans="1:9" ht="12.75" customHeight="1">
      <c r="A1031" s="43">
        <v>300</v>
      </c>
      <c r="B1031" s="43">
        <v>2</v>
      </c>
      <c r="C1031" s="43">
        <v>300</v>
      </c>
      <c r="D1031" s="43">
        <v>355</v>
      </c>
      <c r="E1031" s="43">
        <f t="shared" si="64"/>
        <v>81.434141102361153</v>
      </c>
      <c r="F1031" s="43">
        <f t="shared" si="65"/>
        <v>5.08</v>
      </c>
      <c r="G1031" s="43">
        <f t="shared" si="66"/>
        <v>2068.4271839999737</v>
      </c>
      <c r="H1031" s="43">
        <f t="shared" si="67"/>
        <v>96.363733637794041</v>
      </c>
      <c r="I1031" s="42"/>
    </row>
    <row r="1032" spans="1:9" ht="12.75" customHeight="1">
      <c r="A1032" s="43">
        <v>300</v>
      </c>
      <c r="B1032" s="43">
        <v>2</v>
      </c>
      <c r="C1032" s="43">
        <v>350</v>
      </c>
      <c r="D1032" s="43">
        <v>358.75</v>
      </c>
      <c r="E1032" s="43">
        <f t="shared" si="64"/>
        <v>81.434141102361153</v>
      </c>
      <c r="F1032" s="43">
        <f t="shared" si="65"/>
        <v>5.08</v>
      </c>
      <c r="G1032" s="43">
        <f t="shared" si="66"/>
        <v>2413.1650479999689</v>
      </c>
      <c r="H1032" s="43">
        <f t="shared" si="67"/>
        <v>97.381660401573555</v>
      </c>
      <c r="I1032" s="42"/>
    </row>
    <row r="1033" spans="1:9" ht="12.75" customHeight="1">
      <c r="A1033" s="43">
        <v>300</v>
      </c>
      <c r="B1033" s="43">
        <v>2</v>
      </c>
      <c r="C1033" s="43">
        <v>400</v>
      </c>
      <c r="D1033" s="43">
        <v>362.5</v>
      </c>
      <c r="E1033" s="43">
        <f t="shared" si="64"/>
        <v>81.434141102361153</v>
      </c>
      <c r="F1033" s="43">
        <f t="shared" si="65"/>
        <v>5.08</v>
      </c>
      <c r="G1033" s="43">
        <f t="shared" si="66"/>
        <v>2757.9029119999645</v>
      </c>
      <c r="H1033" s="43">
        <f t="shared" si="67"/>
        <v>98.399587165353068</v>
      </c>
      <c r="I1033" s="42"/>
    </row>
    <row r="1034" spans="1:9" ht="12.75" customHeight="1">
      <c r="A1034" s="43">
        <v>300</v>
      </c>
      <c r="B1034" s="43">
        <v>2</v>
      </c>
      <c r="C1034" s="43">
        <v>450</v>
      </c>
      <c r="D1034" s="43">
        <v>366.25</v>
      </c>
      <c r="E1034" s="43">
        <f t="shared" si="64"/>
        <v>81.434141102361153</v>
      </c>
      <c r="F1034" s="43">
        <f t="shared" si="65"/>
        <v>5.08</v>
      </c>
      <c r="G1034" s="43">
        <f t="shared" si="66"/>
        <v>3102.6407759999602</v>
      </c>
      <c r="H1034" s="43">
        <f t="shared" si="67"/>
        <v>99.417513929132582</v>
      </c>
      <c r="I1034" s="42"/>
    </row>
    <row r="1035" spans="1:9" ht="12.75" customHeight="1">
      <c r="A1035" s="43">
        <v>300</v>
      </c>
      <c r="B1035" s="43">
        <v>2</v>
      </c>
      <c r="C1035" s="43">
        <v>500</v>
      </c>
      <c r="D1035" s="43">
        <v>370</v>
      </c>
      <c r="E1035" s="43">
        <f t="shared" si="64"/>
        <v>81.434141102361153</v>
      </c>
      <c r="F1035" s="43">
        <f t="shared" si="65"/>
        <v>5.08</v>
      </c>
      <c r="G1035" s="43">
        <f t="shared" si="66"/>
        <v>3447.3786399999558</v>
      </c>
      <c r="H1035" s="43">
        <f t="shared" si="67"/>
        <v>100.4354406929121</v>
      </c>
      <c r="I1035" s="42"/>
    </row>
    <row r="1036" spans="1:9" ht="12.75" customHeight="1">
      <c r="A1036" s="43">
        <v>300</v>
      </c>
      <c r="B1036" s="43">
        <v>2</v>
      </c>
      <c r="C1036" s="43">
        <v>550</v>
      </c>
      <c r="D1036" s="43">
        <v>372.8</v>
      </c>
      <c r="E1036" s="43">
        <f t="shared" si="64"/>
        <v>81.434141102361153</v>
      </c>
      <c r="F1036" s="43">
        <f t="shared" si="65"/>
        <v>5.08</v>
      </c>
      <c r="G1036" s="43">
        <f t="shared" si="66"/>
        <v>3792.1165039999514</v>
      </c>
      <c r="H1036" s="43">
        <f t="shared" si="67"/>
        <v>101.19549267653414</v>
      </c>
      <c r="I1036" s="42"/>
    </row>
    <row r="1037" spans="1:9" ht="12.75" customHeight="1">
      <c r="A1037" s="43">
        <v>300</v>
      </c>
      <c r="B1037" s="43">
        <v>2</v>
      </c>
      <c r="C1037" s="43">
        <v>600</v>
      </c>
      <c r="D1037" s="43">
        <v>375.6</v>
      </c>
      <c r="E1037" s="43">
        <f t="shared" si="64"/>
        <v>81.434141102361153</v>
      </c>
      <c r="F1037" s="43">
        <f t="shared" si="65"/>
        <v>5.08</v>
      </c>
      <c r="G1037" s="43">
        <f t="shared" si="66"/>
        <v>4136.8543679999475</v>
      </c>
      <c r="H1037" s="43">
        <f t="shared" si="67"/>
        <v>101.95554466015616</v>
      </c>
      <c r="I1037" s="42"/>
    </row>
    <row r="1038" spans="1:9" ht="12.75" customHeight="1">
      <c r="A1038" s="43">
        <v>300</v>
      </c>
      <c r="B1038" s="43">
        <v>2</v>
      </c>
      <c r="C1038" s="43">
        <v>650</v>
      </c>
      <c r="D1038" s="43">
        <v>378.40000000000003</v>
      </c>
      <c r="E1038" s="43">
        <f t="shared" si="64"/>
        <v>81.434141102361153</v>
      </c>
      <c r="F1038" s="43">
        <f t="shared" si="65"/>
        <v>5.08</v>
      </c>
      <c r="G1038" s="43">
        <f t="shared" si="66"/>
        <v>4481.5922319999427</v>
      </c>
      <c r="H1038" s="43">
        <f t="shared" si="67"/>
        <v>102.71559664377821</v>
      </c>
      <c r="I1038" s="42"/>
    </row>
    <row r="1039" spans="1:9" ht="12.75" customHeight="1">
      <c r="A1039" s="43">
        <v>300</v>
      </c>
      <c r="B1039" s="43">
        <v>2</v>
      </c>
      <c r="C1039" s="43">
        <v>700</v>
      </c>
      <c r="D1039" s="43">
        <v>381.20000000000005</v>
      </c>
      <c r="E1039" s="43">
        <f t="shared" si="64"/>
        <v>81.434141102361153</v>
      </c>
      <c r="F1039" s="43">
        <f t="shared" si="65"/>
        <v>5.08</v>
      </c>
      <c r="G1039" s="43">
        <f t="shared" si="66"/>
        <v>4826.3300959999378</v>
      </c>
      <c r="H1039" s="43">
        <f t="shared" si="67"/>
        <v>103.47564862740026</v>
      </c>
      <c r="I1039" s="42"/>
    </row>
    <row r="1040" spans="1:9" ht="12.75" customHeight="1">
      <c r="A1040" s="43">
        <v>300</v>
      </c>
      <c r="B1040" s="43">
        <v>2</v>
      </c>
      <c r="C1040" s="43">
        <v>750</v>
      </c>
      <c r="D1040" s="43">
        <v>384.00000000000006</v>
      </c>
      <c r="E1040" s="43">
        <f t="shared" si="64"/>
        <v>81.434141102361153</v>
      </c>
      <c r="F1040" s="43">
        <f t="shared" si="65"/>
        <v>5.08</v>
      </c>
      <c r="G1040" s="43">
        <f t="shared" si="66"/>
        <v>5171.0679599999339</v>
      </c>
      <c r="H1040" s="43">
        <f t="shared" si="67"/>
        <v>104.2357006110223</v>
      </c>
      <c r="I1040" s="42"/>
    </row>
    <row r="1041" spans="1:9" ht="12.75" customHeight="1">
      <c r="A1041" s="43">
        <v>300</v>
      </c>
      <c r="B1041" s="43">
        <v>2</v>
      </c>
      <c r="C1041" s="43">
        <v>800</v>
      </c>
      <c r="D1041" s="43">
        <v>386.80000000000007</v>
      </c>
      <c r="E1041" s="43">
        <f t="shared" si="64"/>
        <v>81.434141102361153</v>
      </c>
      <c r="F1041" s="43">
        <f t="shared" si="65"/>
        <v>5.08</v>
      </c>
      <c r="G1041" s="43">
        <f t="shared" si="66"/>
        <v>5515.8058239999291</v>
      </c>
      <c r="H1041" s="43">
        <f t="shared" si="67"/>
        <v>104.99575259464434</v>
      </c>
      <c r="I1041" s="42"/>
    </row>
    <row r="1042" spans="1:9" ht="12.75" customHeight="1">
      <c r="A1042" s="43">
        <v>300</v>
      </c>
      <c r="B1042" s="43">
        <v>2</v>
      </c>
      <c r="C1042" s="43">
        <v>850</v>
      </c>
      <c r="D1042" s="43">
        <v>389.60000000000008</v>
      </c>
      <c r="E1042" s="43">
        <f t="shared" si="64"/>
        <v>81.434141102361153</v>
      </c>
      <c r="F1042" s="43">
        <f t="shared" si="65"/>
        <v>5.08</v>
      </c>
      <c r="G1042" s="43">
        <f t="shared" si="66"/>
        <v>5860.5436879999252</v>
      </c>
      <c r="H1042" s="43">
        <f t="shared" si="67"/>
        <v>105.75580457826639</v>
      </c>
      <c r="I1042" s="42"/>
    </row>
    <row r="1043" spans="1:9" ht="12.75" customHeight="1">
      <c r="A1043" s="43">
        <v>300</v>
      </c>
      <c r="B1043" s="43">
        <v>2</v>
      </c>
      <c r="C1043" s="43">
        <v>900</v>
      </c>
      <c r="D1043" s="43">
        <v>392.40000000000009</v>
      </c>
      <c r="E1043" s="43">
        <f t="shared" si="64"/>
        <v>81.434141102361153</v>
      </c>
      <c r="F1043" s="43">
        <f t="shared" si="65"/>
        <v>5.08</v>
      </c>
      <c r="G1043" s="43">
        <f t="shared" si="66"/>
        <v>6205.2815519999203</v>
      </c>
      <c r="H1043" s="43">
        <f t="shared" si="67"/>
        <v>106.51585656188841</v>
      </c>
      <c r="I1043" s="42"/>
    </row>
    <row r="1044" spans="1:9" ht="12.75" customHeight="1">
      <c r="A1044" s="43">
        <v>300</v>
      </c>
      <c r="B1044" s="43">
        <v>2</v>
      </c>
      <c r="C1044" s="43">
        <v>950</v>
      </c>
      <c r="D1044" s="43">
        <v>395.2000000000001</v>
      </c>
      <c r="E1044" s="43">
        <f t="shared" si="64"/>
        <v>81.434141102361153</v>
      </c>
      <c r="F1044" s="43">
        <f t="shared" si="65"/>
        <v>5.08</v>
      </c>
      <c r="G1044" s="43">
        <f t="shared" si="66"/>
        <v>6550.0194159999164</v>
      </c>
      <c r="H1044" s="43">
        <f t="shared" si="67"/>
        <v>107.27590854551046</v>
      </c>
      <c r="I1044" s="42"/>
    </row>
    <row r="1045" spans="1:9" ht="12.75" customHeight="1">
      <c r="A1045" s="43">
        <v>300</v>
      </c>
      <c r="B1045" s="43">
        <v>2</v>
      </c>
      <c r="C1045" s="43">
        <v>1000</v>
      </c>
      <c r="D1045" s="43">
        <v>398</v>
      </c>
      <c r="E1045" s="43">
        <f t="shared" si="64"/>
        <v>81.434141102361153</v>
      </c>
      <c r="F1045" s="43">
        <f t="shared" si="65"/>
        <v>5.08</v>
      </c>
      <c r="G1045" s="43">
        <f t="shared" si="66"/>
        <v>6894.7572799999116</v>
      </c>
      <c r="H1045" s="43">
        <f t="shared" si="67"/>
        <v>108.03596052913247</v>
      </c>
      <c r="I1045" s="42"/>
    </row>
    <row r="1046" spans="1:9" ht="12.75" customHeight="1">
      <c r="A1046" s="43">
        <v>300</v>
      </c>
      <c r="B1046" s="43">
        <v>2</v>
      </c>
      <c r="C1046" s="43">
        <v>1100</v>
      </c>
      <c r="D1046" s="43">
        <v>402.9</v>
      </c>
      <c r="E1046" s="43">
        <f t="shared" si="64"/>
        <v>81.434141102361153</v>
      </c>
      <c r="F1046" s="43">
        <f t="shared" si="65"/>
        <v>5.08</v>
      </c>
      <c r="G1046" s="43">
        <f t="shared" si="66"/>
        <v>7584.2330079999028</v>
      </c>
      <c r="H1046" s="43">
        <f t="shared" si="67"/>
        <v>109.36605150047103</v>
      </c>
      <c r="I1046" s="42"/>
    </row>
    <row r="1047" spans="1:9" ht="12.75" customHeight="1">
      <c r="A1047" s="43">
        <v>300</v>
      </c>
      <c r="B1047" s="43">
        <v>2</v>
      </c>
      <c r="C1047" s="43">
        <v>1200</v>
      </c>
      <c r="D1047" s="43">
        <v>407.79999999999995</v>
      </c>
      <c r="E1047" s="43">
        <f t="shared" si="64"/>
        <v>81.434141102361153</v>
      </c>
      <c r="F1047" s="43">
        <f t="shared" si="65"/>
        <v>5.08</v>
      </c>
      <c r="G1047" s="43">
        <f t="shared" si="66"/>
        <v>8273.708735999895</v>
      </c>
      <c r="H1047" s="43">
        <f t="shared" si="67"/>
        <v>110.69614247180959</v>
      </c>
      <c r="I1047" s="42"/>
    </row>
    <row r="1048" spans="1:9" ht="12.75" customHeight="1">
      <c r="A1048" s="43">
        <v>300</v>
      </c>
      <c r="B1048" s="43">
        <v>2</v>
      </c>
      <c r="C1048" s="43">
        <v>1300</v>
      </c>
      <c r="D1048" s="43">
        <v>412.69999999999993</v>
      </c>
      <c r="E1048" s="43">
        <f t="shared" si="64"/>
        <v>81.434141102361153</v>
      </c>
      <c r="F1048" s="43">
        <f t="shared" si="65"/>
        <v>5.08</v>
      </c>
      <c r="G1048" s="43">
        <f t="shared" si="66"/>
        <v>8963.1844639998853</v>
      </c>
      <c r="H1048" s="43">
        <f t="shared" si="67"/>
        <v>112.02623344314816</v>
      </c>
      <c r="I1048" s="42"/>
    </row>
    <row r="1049" spans="1:9" ht="12.75" customHeight="1">
      <c r="A1049" s="43">
        <v>300</v>
      </c>
      <c r="B1049" s="43">
        <v>2</v>
      </c>
      <c r="C1049" s="43">
        <v>1400</v>
      </c>
      <c r="D1049" s="43">
        <v>417.59999999999991</v>
      </c>
      <c r="E1049" s="43">
        <f t="shared" si="64"/>
        <v>81.434141102361153</v>
      </c>
      <c r="F1049" s="43">
        <f t="shared" si="65"/>
        <v>5.08</v>
      </c>
      <c r="G1049" s="43">
        <f t="shared" si="66"/>
        <v>9652.6601919998757</v>
      </c>
      <c r="H1049" s="43">
        <f t="shared" si="67"/>
        <v>113.35632441448669</v>
      </c>
      <c r="I1049" s="42"/>
    </row>
    <row r="1050" spans="1:9" ht="12.75" customHeight="1">
      <c r="A1050" s="43">
        <v>300</v>
      </c>
      <c r="B1050" s="43">
        <v>2</v>
      </c>
      <c r="C1050" s="43">
        <v>1500</v>
      </c>
      <c r="D1050" s="43">
        <v>422.49999999999989</v>
      </c>
      <c r="E1050" s="43">
        <f t="shared" si="64"/>
        <v>81.434141102361153</v>
      </c>
      <c r="F1050" s="43">
        <f t="shared" si="65"/>
        <v>5.08</v>
      </c>
      <c r="G1050" s="43">
        <f t="shared" si="66"/>
        <v>10342.135919999868</v>
      </c>
      <c r="H1050" s="43">
        <f t="shared" si="67"/>
        <v>114.68641538582526</v>
      </c>
      <c r="I1050" s="42"/>
    </row>
    <row r="1051" spans="1:9" ht="12.75" customHeight="1">
      <c r="A1051" s="43">
        <v>300</v>
      </c>
      <c r="B1051" s="43">
        <v>2</v>
      </c>
      <c r="C1051" s="43">
        <v>1600</v>
      </c>
      <c r="D1051" s="43">
        <v>427.39999999999986</v>
      </c>
      <c r="E1051" s="43">
        <f t="shared" si="64"/>
        <v>81.434141102361153</v>
      </c>
      <c r="F1051" s="43">
        <f t="shared" si="65"/>
        <v>5.08</v>
      </c>
      <c r="G1051" s="43">
        <f t="shared" si="66"/>
        <v>11031.611647999858</v>
      </c>
      <c r="H1051" s="43">
        <f t="shared" si="67"/>
        <v>116.01650635716382</v>
      </c>
      <c r="I1051" s="42"/>
    </row>
    <row r="1052" spans="1:9" ht="12.75" customHeight="1">
      <c r="A1052" s="43">
        <v>300</v>
      </c>
      <c r="B1052" s="43">
        <v>2</v>
      </c>
      <c r="C1052" s="43">
        <v>1700</v>
      </c>
      <c r="D1052" s="43">
        <v>432.29999999999984</v>
      </c>
      <c r="E1052" s="43">
        <f t="shared" si="64"/>
        <v>81.434141102361153</v>
      </c>
      <c r="F1052" s="43">
        <f t="shared" si="65"/>
        <v>5.08</v>
      </c>
      <c r="G1052" s="43">
        <f t="shared" si="66"/>
        <v>11721.08737599985</v>
      </c>
      <c r="H1052" s="43">
        <f t="shared" si="67"/>
        <v>117.34659732850238</v>
      </c>
      <c r="I1052" s="42"/>
    </row>
    <row r="1053" spans="1:9" ht="12.75" customHeight="1">
      <c r="A1053" s="43">
        <v>300</v>
      </c>
      <c r="B1053" s="43">
        <v>2</v>
      </c>
      <c r="C1053" s="43">
        <v>1800</v>
      </c>
      <c r="D1053" s="43">
        <v>437.19999999999982</v>
      </c>
      <c r="E1053" s="43">
        <f t="shared" si="64"/>
        <v>81.434141102361153</v>
      </c>
      <c r="F1053" s="43">
        <f t="shared" si="65"/>
        <v>5.08</v>
      </c>
      <c r="G1053" s="43">
        <f t="shared" si="66"/>
        <v>12410.563103999841</v>
      </c>
      <c r="H1053" s="43">
        <f t="shared" si="67"/>
        <v>118.67668829984095</v>
      </c>
      <c r="I1053" s="42"/>
    </row>
    <row r="1054" spans="1:9" ht="12.75" customHeight="1">
      <c r="A1054" s="43">
        <v>300</v>
      </c>
      <c r="B1054" s="43">
        <v>2</v>
      </c>
      <c r="C1054" s="43">
        <v>1900</v>
      </c>
      <c r="D1054" s="43">
        <v>442.0999999999998</v>
      </c>
      <c r="E1054" s="43">
        <f t="shared" si="64"/>
        <v>81.434141102361153</v>
      </c>
      <c r="F1054" s="43">
        <f t="shared" si="65"/>
        <v>5.08</v>
      </c>
      <c r="G1054" s="43">
        <f t="shared" si="66"/>
        <v>13100.038831999833</v>
      </c>
      <c r="H1054" s="43">
        <f t="shared" si="67"/>
        <v>120.00677927117951</v>
      </c>
      <c r="I1054" s="42"/>
    </row>
    <row r="1055" spans="1:9" ht="12.75" customHeight="1">
      <c r="A1055" s="43">
        <v>300</v>
      </c>
      <c r="B1055" s="43">
        <v>2</v>
      </c>
      <c r="C1055" s="43">
        <v>2000</v>
      </c>
      <c r="D1055" s="43">
        <v>447</v>
      </c>
      <c r="E1055" s="43">
        <f t="shared" si="64"/>
        <v>81.434141102361153</v>
      </c>
      <c r="F1055" s="43">
        <f t="shared" si="65"/>
        <v>5.08</v>
      </c>
      <c r="G1055" s="43">
        <f t="shared" si="66"/>
        <v>13789.514559999823</v>
      </c>
      <c r="H1055" s="43">
        <f t="shared" si="67"/>
        <v>121.33687024251813</v>
      </c>
      <c r="I1055" s="42"/>
    </row>
    <row r="1056" spans="1:9" ht="12.75" customHeight="1">
      <c r="A1056" s="43">
        <v>300</v>
      </c>
      <c r="B1056" s="43">
        <v>3</v>
      </c>
      <c r="C1056" s="43">
        <v>50</v>
      </c>
      <c r="D1056" s="43">
        <v>336</v>
      </c>
      <c r="E1056" s="43">
        <f t="shared" si="64"/>
        <v>81.434141102361153</v>
      </c>
      <c r="F1056" s="43">
        <f t="shared" si="65"/>
        <v>7.62</v>
      </c>
      <c r="G1056" s="43">
        <f t="shared" si="66"/>
        <v>344.73786399999557</v>
      </c>
      <c r="H1056" s="43">
        <f t="shared" si="67"/>
        <v>91.2062380346445</v>
      </c>
      <c r="I1056" s="42"/>
    </row>
    <row r="1057" spans="1:9" ht="12.75" customHeight="1">
      <c r="A1057" s="43">
        <v>300</v>
      </c>
      <c r="B1057" s="43">
        <v>3</v>
      </c>
      <c r="C1057" s="43">
        <v>60</v>
      </c>
      <c r="D1057" s="43">
        <v>339.2</v>
      </c>
      <c r="E1057" s="43">
        <f t="shared" si="64"/>
        <v>81.434141102361153</v>
      </c>
      <c r="F1057" s="43">
        <f t="shared" si="65"/>
        <v>7.62</v>
      </c>
      <c r="G1057" s="43">
        <f t="shared" si="66"/>
        <v>413.6854367999947</v>
      </c>
      <c r="H1057" s="43">
        <f t="shared" si="67"/>
        <v>92.074868873069676</v>
      </c>
      <c r="I1057" s="42"/>
    </row>
    <row r="1058" spans="1:9" ht="12.75" customHeight="1">
      <c r="A1058" s="43">
        <v>300</v>
      </c>
      <c r="B1058" s="43">
        <v>3</v>
      </c>
      <c r="C1058" s="43">
        <v>70</v>
      </c>
      <c r="D1058" s="43">
        <v>342.4</v>
      </c>
      <c r="E1058" s="43">
        <f t="shared" si="64"/>
        <v>81.434141102361153</v>
      </c>
      <c r="F1058" s="43">
        <f t="shared" si="65"/>
        <v>7.62</v>
      </c>
      <c r="G1058" s="43">
        <f t="shared" si="66"/>
        <v>482.63300959999384</v>
      </c>
      <c r="H1058" s="43">
        <f t="shared" si="67"/>
        <v>92.943499711494866</v>
      </c>
      <c r="I1058" s="42"/>
    </row>
    <row r="1059" spans="1:9" ht="12.75" customHeight="1">
      <c r="A1059" s="43">
        <v>300</v>
      </c>
      <c r="B1059" s="43">
        <v>3</v>
      </c>
      <c r="C1059" s="43">
        <v>80</v>
      </c>
      <c r="D1059" s="43">
        <v>345.59999999999997</v>
      </c>
      <c r="E1059" s="43">
        <f t="shared" si="64"/>
        <v>81.434141102361153</v>
      </c>
      <c r="F1059" s="43">
        <f t="shared" si="65"/>
        <v>7.62</v>
      </c>
      <c r="G1059" s="43">
        <f t="shared" si="66"/>
        <v>551.58058239999298</v>
      </c>
      <c r="H1059" s="43">
        <f t="shared" si="67"/>
        <v>93.812130549920042</v>
      </c>
      <c r="I1059" s="42"/>
    </row>
    <row r="1060" spans="1:9" ht="12.75" customHeight="1">
      <c r="A1060" s="43">
        <v>300</v>
      </c>
      <c r="B1060" s="43">
        <v>3</v>
      </c>
      <c r="C1060" s="43">
        <v>90</v>
      </c>
      <c r="D1060" s="43">
        <v>348.79999999999995</v>
      </c>
      <c r="E1060" s="43">
        <f t="shared" si="64"/>
        <v>81.434141102361153</v>
      </c>
      <c r="F1060" s="43">
        <f t="shared" si="65"/>
        <v>7.62</v>
      </c>
      <c r="G1060" s="43">
        <f t="shared" si="66"/>
        <v>620.52815519999206</v>
      </c>
      <c r="H1060" s="43">
        <f t="shared" si="67"/>
        <v>94.680761388345218</v>
      </c>
      <c r="I1060" s="42"/>
    </row>
    <row r="1061" spans="1:9" ht="12.75" customHeight="1">
      <c r="A1061" s="43">
        <v>300</v>
      </c>
      <c r="B1061" s="43">
        <v>3</v>
      </c>
      <c r="C1061" s="43">
        <v>100</v>
      </c>
      <c r="D1061" s="43">
        <v>352</v>
      </c>
      <c r="E1061" s="43">
        <f t="shared" si="64"/>
        <v>81.434141102361153</v>
      </c>
      <c r="F1061" s="43">
        <f t="shared" si="65"/>
        <v>7.62</v>
      </c>
      <c r="G1061" s="43">
        <f t="shared" si="66"/>
        <v>689.47572799999114</v>
      </c>
      <c r="H1061" s="43">
        <f t="shared" si="67"/>
        <v>95.549392226770422</v>
      </c>
      <c r="I1061" s="42"/>
    </row>
    <row r="1062" spans="1:9" ht="12.75" customHeight="1">
      <c r="A1062" s="43">
        <v>300</v>
      </c>
      <c r="B1062" s="43">
        <v>3</v>
      </c>
      <c r="C1062" s="43">
        <v>150</v>
      </c>
      <c r="D1062" s="43">
        <v>361.25</v>
      </c>
      <c r="E1062" s="43">
        <f t="shared" si="64"/>
        <v>81.434141102361153</v>
      </c>
      <c r="F1062" s="43">
        <f t="shared" si="65"/>
        <v>7.62</v>
      </c>
      <c r="G1062" s="43">
        <f t="shared" si="66"/>
        <v>1034.2135919999869</v>
      </c>
      <c r="H1062" s="43">
        <f t="shared" si="67"/>
        <v>98.06027824409324</v>
      </c>
      <c r="I1062" s="42"/>
    </row>
    <row r="1063" spans="1:9" ht="12.75" customHeight="1">
      <c r="A1063" s="43">
        <v>300</v>
      </c>
      <c r="B1063" s="43">
        <v>3</v>
      </c>
      <c r="C1063" s="43">
        <v>200</v>
      </c>
      <c r="D1063" s="43">
        <v>370.5</v>
      </c>
      <c r="E1063" s="43">
        <f t="shared" si="64"/>
        <v>81.434141102361153</v>
      </c>
      <c r="F1063" s="43">
        <f t="shared" si="65"/>
        <v>7.62</v>
      </c>
      <c r="G1063" s="43">
        <f t="shared" si="66"/>
        <v>1378.9514559999823</v>
      </c>
      <c r="H1063" s="43">
        <f t="shared" si="67"/>
        <v>100.57116426141603</v>
      </c>
      <c r="I1063" s="42"/>
    </row>
    <row r="1064" spans="1:9" ht="12.75" customHeight="1">
      <c r="A1064" s="43">
        <v>300</v>
      </c>
      <c r="B1064" s="43">
        <v>3</v>
      </c>
      <c r="C1064" s="43">
        <v>250</v>
      </c>
      <c r="D1064" s="43">
        <v>379.75</v>
      </c>
      <c r="E1064" s="43">
        <f t="shared" si="64"/>
        <v>81.434141102361153</v>
      </c>
      <c r="F1064" s="43">
        <f t="shared" si="65"/>
        <v>7.62</v>
      </c>
      <c r="G1064" s="43">
        <f t="shared" si="66"/>
        <v>1723.6893199999779</v>
      </c>
      <c r="H1064" s="43">
        <f t="shared" si="67"/>
        <v>103.08205027873885</v>
      </c>
      <c r="I1064" s="42"/>
    </row>
    <row r="1065" spans="1:9" ht="12.75" customHeight="1">
      <c r="A1065" s="43">
        <v>300</v>
      </c>
      <c r="B1065" s="43">
        <v>3</v>
      </c>
      <c r="C1065" s="43">
        <v>300</v>
      </c>
      <c r="D1065" s="43">
        <v>389</v>
      </c>
      <c r="E1065" s="43">
        <f t="shared" si="64"/>
        <v>81.434141102361153</v>
      </c>
      <c r="F1065" s="43">
        <f t="shared" si="65"/>
        <v>7.62</v>
      </c>
      <c r="G1065" s="43">
        <f t="shared" si="66"/>
        <v>2068.4271839999737</v>
      </c>
      <c r="H1065" s="43">
        <f t="shared" si="67"/>
        <v>105.59293629606164</v>
      </c>
      <c r="I1065" s="42"/>
    </row>
    <row r="1066" spans="1:9" ht="12.75" customHeight="1">
      <c r="A1066" s="43">
        <v>300</v>
      </c>
      <c r="B1066" s="43">
        <v>3</v>
      </c>
      <c r="C1066" s="43">
        <v>350</v>
      </c>
      <c r="D1066" s="43">
        <v>396.75</v>
      </c>
      <c r="E1066" s="43">
        <f t="shared" si="64"/>
        <v>81.434141102361153</v>
      </c>
      <c r="F1066" s="43">
        <f t="shared" si="65"/>
        <v>7.62</v>
      </c>
      <c r="G1066" s="43">
        <f t="shared" si="66"/>
        <v>2413.1650479999689</v>
      </c>
      <c r="H1066" s="43">
        <f t="shared" si="67"/>
        <v>107.69665160787262</v>
      </c>
      <c r="I1066" s="42"/>
    </row>
    <row r="1067" spans="1:9" ht="12.75" customHeight="1">
      <c r="A1067" s="43">
        <v>300</v>
      </c>
      <c r="B1067" s="43">
        <v>3</v>
      </c>
      <c r="C1067" s="43">
        <v>400</v>
      </c>
      <c r="D1067" s="43">
        <v>404.5</v>
      </c>
      <c r="E1067" s="43">
        <f t="shared" si="64"/>
        <v>81.434141102361153</v>
      </c>
      <c r="F1067" s="43">
        <f t="shared" si="65"/>
        <v>7.62</v>
      </c>
      <c r="G1067" s="43">
        <f t="shared" si="66"/>
        <v>2757.9029119999645</v>
      </c>
      <c r="H1067" s="43">
        <f t="shared" si="67"/>
        <v>109.80036691968364</v>
      </c>
      <c r="I1067" s="42"/>
    </row>
    <row r="1068" spans="1:9" ht="12.75" customHeight="1">
      <c r="A1068" s="43">
        <v>300</v>
      </c>
      <c r="B1068" s="43">
        <v>3</v>
      </c>
      <c r="C1068" s="43">
        <v>450</v>
      </c>
      <c r="D1068" s="43">
        <v>412.25</v>
      </c>
      <c r="E1068" s="43">
        <f t="shared" si="64"/>
        <v>81.434141102361153</v>
      </c>
      <c r="F1068" s="43">
        <f t="shared" si="65"/>
        <v>7.62</v>
      </c>
      <c r="G1068" s="43">
        <f t="shared" si="66"/>
        <v>3102.6407759999602</v>
      </c>
      <c r="H1068" s="43">
        <f t="shared" si="67"/>
        <v>111.90408223149463</v>
      </c>
      <c r="I1068" s="42"/>
    </row>
    <row r="1069" spans="1:9" ht="12.75" customHeight="1">
      <c r="A1069" s="43">
        <v>300</v>
      </c>
      <c r="B1069" s="43">
        <v>3</v>
      </c>
      <c r="C1069" s="43">
        <v>500</v>
      </c>
      <c r="D1069" s="43">
        <v>420</v>
      </c>
      <c r="E1069" s="43">
        <f t="shared" si="64"/>
        <v>81.434141102361153</v>
      </c>
      <c r="F1069" s="43">
        <f t="shared" si="65"/>
        <v>7.62</v>
      </c>
      <c r="G1069" s="43">
        <f t="shared" si="66"/>
        <v>3447.3786399999558</v>
      </c>
      <c r="H1069" s="43">
        <f t="shared" si="67"/>
        <v>114.00779754330563</v>
      </c>
      <c r="I1069" s="42"/>
    </row>
    <row r="1070" spans="1:9" ht="12.75" customHeight="1">
      <c r="A1070" s="43">
        <v>300</v>
      </c>
      <c r="B1070" s="43">
        <v>3</v>
      </c>
      <c r="C1070" s="43">
        <v>550</v>
      </c>
      <c r="D1070" s="43">
        <v>426.9</v>
      </c>
      <c r="E1070" s="43">
        <f t="shared" si="64"/>
        <v>81.434141102361153</v>
      </c>
      <c r="F1070" s="43">
        <f t="shared" si="65"/>
        <v>7.62</v>
      </c>
      <c r="G1070" s="43">
        <f t="shared" si="66"/>
        <v>3792.1165039999514</v>
      </c>
      <c r="H1070" s="43">
        <f t="shared" si="67"/>
        <v>115.88078278865991</v>
      </c>
      <c r="I1070" s="42"/>
    </row>
    <row r="1071" spans="1:9" ht="12.75" customHeight="1">
      <c r="A1071" s="43">
        <v>300</v>
      </c>
      <c r="B1071" s="43">
        <v>3</v>
      </c>
      <c r="C1071" s="43">
        <v>600</v>
      </c>
      <c r="D1071" s="43">
        <v>433.79999999999995</v>
      </c>
      <c r="E1071" s="43">
        <f t="shared" si="64"/>
        <v>81.434141102361153</v>
      </c>
      <c r="F1071" s="43">
        <f t="shared" si="65"/>
        <v>7.62</v>
      </c>
      <c r="G1071" s="43">
        <f t="shared" si="66"/>
        <v>4136.8543679999475</v>
      </c>
      <c r="H1071" s="43">
        <f t="shared" si="67"/>
        <v>117.75376803401423</v>
      </c>
      <c r="I1071" s="42"/>
    </row>
    <row r="1072" spans="1:9" ht="12.75" customHeight="1">
      <c r="A1072" s="43">
        <v>300</v>
      </c>
      <c r="B1072" s="43">
        <v>3</v>
      </c>
      <c r="C1072" s="43">
        <v>650</v>
      </c>
      <c r="D1072" s="43">
        <v>440.69999999999993</v>
      </c>
      <c r="E1072" s="43">
        <f t="shared" si="64"/>
        <v>81.434141102361153</v>
      </c>
      <c r="F1072" s="43">
        <f t="shared" si="65"/>
        <v>7.62</v>
      </c>
      <c r="G1072" s="43">
        <f t="shared" si="66"/>
        <v>4481.5922319999427</v>
      </c>
      <c r="H1072" s="43">
        <f t="shared" si="67"/>
        <v>119.62675327936851</v>
      </c>
      <c r="I1072" s="42"/>
    </row>
    <row r="1073" spans="1:9" ht="12.75" customHeight="1">
      <c r="A1073" s="43">
        <v>300</v>
      </c>
      <c r="B1073" s="43">
        <v>3</v>
      </c>
      <c r="C1073" s="43">
        <v>700</v>
      </c>
      <c r="D1073" s="43">
        <v>447.59999999999991</v>
      </c>
      <c r="E1073" s="43">
        <f t="shared" si="64"/>
        <v>81.434141102361153</v>
      </c>
      <c r="F1073" s="43">
        <f t="shared" si="65"/>
        <v>7.62</v>
      </c>
      <c r="G1073" s="43">
        <f t="shared" si="66"/>
        <v>4826.3300959999378</v>
      </c>
      <c r="H1073" s="43">
        <f t="shared" si="67"/>
        <v>121.49973852472283</v>
      </c>
      <c r="I1073" s="42"/>
    </row>
    <row r="1074" spans="1:9" ht="12.75" customHeight="1">
      <c r="A1074" s="43">
        <v>300</v>
      </c>
      <c r="B1074" s="43">
        <v>3</v>
      </c>
      <c r="C1074" s="43">
        <v>750</v>
      </c>
      <c r="D1074" s="43">
        <v>454.49999999999989</v>
      </c>
      <c r="E1074" s="43">
        <f t="shared" si="64"/>
        <v>81.434141102361153</v>
      </c>
      <c r="F1074" s="43">
        <f t="shared" si="65"/>
        <v>7.62</v>
      </c>
      <c r="G1074" s="43">
        <f t="shared" si="66"/>
        <v>5171.0679599999339</v>
      </c>
      <c r="H1074" s="43">
        <f t="shared" si="67"/>
        <v>123.37272377007712</v>
      </c>
      <c r="I1074" s="42"/>
    </row>
    <row r="1075" spans="1:9" ht="12.75" customHeight="1">
      <c r="A1075" s="43">
        <v>300</v>
      </c>
      <c r="B1075" s="43">
        <v>3</v>
      </c>
      <c r="C1075" s="43">
        <v>800</v>
      </c>
      <c r="D1075" s="43">
        <v>461.39999999999986</v>
      </c>
      <c r="E1075" s="43">
        <f t="shared" si="64"/>
        <v>81.434141102361153</v>
      </c>
      <c r="F1075" s="43">
        <f t="shared" si="65"/>
        <v>7.62</v>
      </c>
      <c r="G1075" s="43">
        <f t="shared" si="66"/>
        <v>5515.8058239999291</v>
      </c>
      <c r="H1075" s="43">
        <f t="shared" si="67"/>
        <v>125.24570901543143</v>
      </c>
      <c r="I1075" s="42"/>
    </row>
    <row r="1076" spans="1:9" ht="12.75" customHeight="1">
      <c r="A1076" s="43">
        <v>300</v>
      </c>
      <c r="B1076" s="43">
        <v>3</v>
      </c>
      <c r="C1076" s="43">
        <v>850</v>
      </c>
      <c r="D1076" s="43">
        <v>468.29999999999984</v>
      </c>
      <c r="E1076" s="43">
        <f t="shared" si="64"/>
        <v>81.434141102361153</v>
      </c>
      <c r="F1076" s="43">
        <f t="shared" si="65"/>
        <v>7.62</v>
      </c>
      <c r="G1076" s="43">
        <f t="shared" si="66"/>
        <v>5860.5436879999252</v>
      </c>
      <c r="H1076" s="43">
        <f t="shared" si="67"/>
        <v>127.11869426078573</v>
      </c>
      <c r="I1076" s="42"/>
    </row>
    <row r="1077" spans="1:9" ht="12.75" customHeight="1">
      <c r="A1077" s="43">
        <v>300</v>
      </c>
      <c r="B1077" s="43">
        <v>3</v>
      </c>
      <c r="C1077" s="43">
        <v>900</v>
      </c>
      <c r="D1077" s="43">
        <v>475.19999999999982</v>
      </c>
      <c r="E1077" s="43">
        <f t="shared" si="64"/>
        <v>81.434141102361153</v>
      </c>
      <c r="F1077" s="43">
        <f t="shared" si="65"/>
        <v>7.62</v>
      </c>
      <c r="G1077" s="43">
        <f t="shared" si="66"/>
        <v>6205.2815519999203</v>
      </c>
      <c r="H1077" s="43">
        <f t="shared" si="67"/>
        <v>128.99167950614003</v>
      </c>
      <c r="I1077" s="42"/>
    </row>
    <row r="1078" spans="1:9" ht="12.75" customHeight="1">
      <c r="A1078" s="43">
        <v>300</v>
      </c>
      <c r="B1078" s="43">
        <v>3</v>
      </c>
      <c r="C1078" s="43">
        <v>950</v>
      </c>
      <c r="D1078" s="43">
        <v>482.0999999999998</v>
      </c>
      <c r="E1078" s="43">
        <f t="shared" si="64"/>
        <v>81.434141102361153</v>
      </c>
      <c r="F1078" s="43">
        <f t="shared" si="65"/>
        <v>7.62</v>
      </c>
      <c r="G1078" s="43">
        <f t="shared" si="66"/>
        <v>6550.0194159999164</v>
      </c>
      <c r="H1078" s="43">
        <f t="shared" si="67"/>
        <v>130.86466475149433</v>
      </c>
      <c r="I1078" s="42"/>
    </row>
    <row r="1079" spans="1:9" ht="12.75" customHeight="1">
      <c r="A1079" s="43">
        <v>300</v>
      </c>
      <c r="B1079" s="43">
        <v>3</v>
      </c>
      <c r="C1079" s="43">
        <v>1000</v>
      </c>
      <c r="D1079" s="43">
        <v>489</v>
      </c>
      <c r="E1079" s="43">
        <f t="shared" si="64"/>
        <v>81.434141102361153</v>
      </c>
      <c r="F1079" s="43">
        <f t="shared" si="65"/>
        <v>7.62</v>
      </c>
      <c r="G1079" s="43">
        <f t="shared" si="66"/>
        <v>6894.7572799999116</v>
      </c>
      <c r="H1079" s="43">
        <f t="shared" si="67"/>
        <v>132.73764999684869</v>
      </c>
      <c r="I1079" s="42"/>
    </row>
    <row r="1080" spans="1:9" ht="12.75" customHeight="1">
      <c r="A1080" s="43">
        <v>300</v>
      </c>
      <c r="B1080" s="43">
        <v>3</v>
      </c>
      <c r="C1080" s="43">
        <v>1100</v>
      </c>
      <c r="D1080" s="43">
        <v>501</v>
      </c>
      <c r="E1080" s="43">
        <f t="shared" si="64"/>
        <v>81.434141102361153</v>
      </c>
      <c r="F1080" s="43">
        <f t="shared" si="65"/>
        <v>7.62</v>
      </c>
      <c r="G1080" s="43">
        <f t="shared" si="66"/>
        <v>7584.2330079999028</v>
      </c>
      <c r="H1080" s="43">
        <f t="shared" si="67"/>
        <v>135.99501564094314</v>
      </c>
      <c r="I1080" s="42"/>
    </row>
    <row r="1081" spans="1:9" ht="12.75" customHeight="1">
      <c r="A1081" s="43">
        <v>300</v>
      </c>
      <c r="B1081" s="43">
        <v>3</v>
      </c>
      <c r="C1081" s="43">
        <v>1200</v>
      </c>
      <c r="D1081" s="43">
        <v>513</v>
      </c>
      <c r="E1081" s="43">
        <f t="shared" si="64"/>
        <v>81.434141102361153</v>
      </c>
      <c r="F1081" s="43">
        <f t="shared" si="65"/>
        <v>7.62</v>
      </c>
      <c r="G1081" s="43">
        <f t="shared" si="66"/>
        <v>8273.708735999895</v>
      </c>
      <c r="H1081" s="43">
        <f t="shared" si="67"/>
        <v>139.25238128503759</v>
      </c>
      <c r="I1081" s="42"/>
    </row>
    <row r="1082" spans="1:9" ht="12.75" customHeight="1">
      <c r="A1082" s="43">
        <v>300</v>
      </c>
      <c r="B1082" s="43">
        <v>3</v>
      </c>
      <c r="C1082" s="43">
        <v>1300</v>
      </c>
      <c r="D1082" s="43">
        <v>525</v>
      </c>
      <c r="E1082" s="43">
        <f t="shared" si="64"/>
        <v>81.434141102361153</v>
      </c>
      <c r="F1082" s="43">
        <f t="shared" si="65"/>
        <v>7.62</v>
      </c>
      <c r="G1082" s="43">
        <f t="shared" si="66"/>
        <v>8963.1844639998853</v>
      </c>
      <c r="H1082" s="43">
        <f t="shared" si="67"/>
        <v>142.50974692913204</v>
      </c>
      <c r="I1082" s="42"/>
    </row>
    <row r="1083" spans="1:9" ht="12.75" customHeight="1">
      <c r="A1083" s="43">
        <v>300</v>
      </c>
      <c r="B1083" s="43">
        <v>3</v>
      </c>
      <c r="C1083" s="43">
        <v>1400</v>
      </c>
      <c r="D1083" s="43">
        <v>537</v>
      </c>
      <c r="E1083" s="43">
        <f t="shared" si="64"/>
        <v>81.434141102361153</v>
      </c>
      <c r="F1083" s="43">
        <f t="shared" si="65"/>
        <v>7.62</v>
      </c>
      <c r="G1083" s="43">
        <f t="shared" si="66"/>
        <v>9652.6601919998757</v>
      </c>
      <c r="H1083" s="43">
        <f t="shared" si="67"/>
        <v>145.76711257322646</v>
      </c>
      <c r="I1083" s="42"/>
    </row>
    <row r="1084" spans="1:9" ht="12.75" customHeight="1">
      <c r="A1084" s="43">
        <v>300</v>
      </c>
      <c r="B1084" s="43">
        <v>3</v>
      </c>
      <c r="C1084" s="43">
        <v>1500</v>
      </c>
      <c r="D1084" s="43">
        <v>549</v>
      </c>
      <c r="E1084" s="43">
        <f t="shared" si="64"/>
        <v>81.434141102361153</v>
      </c>
      <c r="F1084" s="43">
        <f t="shared" si="65"/>
        <v>7.62</v>
      </c>
      <c r="G1084" s="43">
        <f t="shared" si="66"/>
        <v>10342.135919999868</v>
      </c>
      <c r="H1084" s="43">
        <f t="shared" si="67"/>
        <v>149.0244782173209</v>
      </c>
      <c r="I1084" s="42"/>
    </row>
    <row r="1085" spans="1:9" ht="12.75" customHeight="1">
      <c r="A1085" s="43">
        <v>300</v>
      </c>
      <c r="B1085" s="43">
        <v>3</v>
      </c>
      <c r="C1085" s="43">
        <v>1600</v>
      </c>
      <c r="D1085" s="43">
        <v>561</v>
      </c>
      <c r="E1085" s="43">
        <f t="shared" si="64"/>
        <v>81.434141102361153</v>
      </c>
      <c r="F1085" s="43">
        <f t="shared" si="65"/>
        <v>7.62</v>
      </c>
      <c r="G1085" s="43">
        <f t="shared" si="66"/>
        <v>11031.611647999858</v>
      </c>
      <c r="H1085" s="43">
        <f t="shared" si="67"/>
        <v>152.28184386141538</v>
      </c>
      <c r="I1085" s="42"/>
    </row>
    <row r="1086" spans="1:9" ht="12.75" customHeight="1">
      <c r="A1086" s="43">
        <v>300</v>
      </c>
      <c r="B1086" s="43">
        <v>3</v>
      </c>
      <c r="C1086" s="43">
        <v>1700</v>
      </c>
      <c r="D1086" s="43">
        <v>573</v>
      </c>
      <c r="E1086" s="43">
        <f t="shared" si="64"/>
        <v>81.434141102361153</v>
      </c>
      <c r="F1086" s="43">
        <f t="shared" si="65"/>
        <v>7.62</v>
      </c>
      <c r="G1086" s="43">
        <f t="shared" si="66"/>
        <v>11721.08737599985</v>
      </c>
      <c r="H1086" s="43">
        <f t="shared" si="67"/>
        <v>155.53920950550983</v>
      </c>
      <c r="I1086" s="42"/>
    </row>
    <row r="1087" spans="1:9" ht="12.75" customHeight="1">
      <c r="A1087" s="43">
        <v>300</v>
      </c>
      <c r="B1087" s="43">
        <v>3</v>
      </c>
      <c r="C1087" s="43">
        <v>1800</v>
      </c>
      <c r="D1087" s="43">
        <v>585</v>
      </c>
      <c r="E1087" s="43">
        <f t="shared" si="64"/>
        <v>81.434141102361153</v>
      </c>
      <c r="F1087" s="43">
        <f t="shared" si="65"/>
        <v>7.62</v>
      </c>
      <c r="G1087" s="43">
        <f t="shared" si="66"/>
        <v>12410.563103999841</v>
      </c>
      <c r="H1087" s="43">
        <f t="shared" si="67"/>
        <v>158.79657514960425</v>
      </c>
      <c r="I1087" s="42"/>
    </row>
    <row r="1088" spans="1:9" ht="12.75" customHeight="1">
      <c r="A1088" s="43">
        <v>300</v>
      </c>
      <c r="B1088" s="43">
        <v>3</v>
      </c>
      <c r="C1088" s="43">
        <v>1900</v>
      </c>
      <c r="D1088" s="43">
        <v>597</v>
      </c>
      <c r="E1088" s="43">
        <f t="shared" si="64"/>
        <v>81.434141102361153</v>
      </c>
      <c r="F1088" s="43">
        <f t="shared" si="65"/>
        <v>7.62</v>
      </c>
      <c r="G1088" s="43">
        <f t="shared" si="66"/>
        <v>13100.038831999833</v>
      </c>
      <c r="H1088" s="43">
        <f t="shared" si="67"/>
        <v>162.0539407936987</v>
      </c>
      <c r="I1088" s="42"/>
    </row>
    <row r="1089" spans="1:9" ht="12.75" customHeight="1">
      <c r="A1089" s="43">
        <v>300</v>
      </c>
      <c r="B1089" s="43">
        <v>3</v>
      </c>
      <c r="C1089" s="43">
        <v>2000</v>
      </c>
      <c r="D1089" s="43">
        <v>609</v>
      </c>
      <c r="E1089" s="43">
        <f t="shared" si="64"/>
        <v>81.434141102361153</v>
      </c>
      <c r="F1089" s="43">
        <f t="shared" si="65"/>
        <v>7.62</v>
      </c>
      <c r="G1089" s="43">
        <f t="shared" si="66"/>
        <v>13789.514559999823</v>
      </c>
      <c r="H1089" s="43">
        <f t="shared" si="67"/>
        <v>165.31130643779315</v>
      </c>
      <c r="I1089" s="42"/>
    </row>
    <row r="1090" spans="1:9" ht="12.75" customHeight="1">
      <c r="A1090" s="43">
        <v>300</v>
      </c>
      <c r="B1090" s="43">
        <v>4</v>
      </c>
      <c r="C1090" s="43">
        <v>50</v>
      </c>
      <c r="D1090" s="43">
        <v>347</v>
      </c>
      <c r="E1090" s="43">
        <f t="shared" si="64"/>
        <v>81.434141102361153</v>
      </c>
      <c r="F1090" s="43">
        <f t="shared" si="65"/>
        <v>10.16</v>
      </c>
      <c r="G1090" s="43">
        <f t="shared" si="66"/>
        <v>344.73786399999557</v>
      </c>
      <c r="H1090" s="43">
        <f t="shared" si="67"/>
        <v>94.192156541731066</v>
      </c>
      <c r="I1090" s="42"/>
    </row>
    <row r="1091" spans="1:9" ht="12.75" customHeight="1">
      <c r="A1091" s="43">
        <v>300</v>
      </c>
      <c r="B1091" s="43">
        <v>4</v>
      </c>
      <c r="C1091" s="43">
        <v>60</v>
      </c>
      <c r="D1091" s="43">
        <v>351.8</v>
      </c>
      <c r="E1091" s="43">
        <f t="shared" ref="E1091:E1154" si="68">A1091/145.03773800722/0.0254</f>
        <v>81.434141102361153</v>
      </c>
      <c r="F1091" s="43">
        <f t="shared" ref="F1091:F1154" si="69">B1091*2.54</f>
        <v>10.16</v>
      </c>
      <c r="G1091" s="43">
        <f t="shared" ref="G1091:G1154" si="70">C1091/0.14503773800722</f>
        <v>413.6854367999947</v>
      </c>
      <c r="H1091" s="43">
        <f t="shared" ref="H1091:H1154" si="71">D1091/145.03773800722/0.0254</f>
        <v>95.495102799368865</v>
      </c>
      <c r="I1091" s="42"/>
    </row>
    <row r="1092" spans="1:9" ht="12.75" customHeight="1">
      <c r="A1092" s="43">
        <v>300</v>
      </c>
      <c r="B1092" s="43">
        <v>4</v>
      </c>
      <c r="C1092" s="43">
        <v>70</v>
      </c>
      <c r="D1092" s="43">
        <v>356.6</v>
      </c>
      <c r="E1092" s="43">
        <f t="shared" si="68"/>
        <v>81.434141102361153</v>
      </c>
      <c r="F1092" s="43">
        <f t="shared" si="69"/>
        <v>10.16</v>
      </c>
      <c r="G1092" s="43">
        <f t="shared" si="70"/>
        <v>482.63300959999384</v>
      </c>
      <c r="H1092" s="43">
        <f t="shared" si="71"/>
        <v>96.798049057006637</v>
      </c>
      <c r="I1092" s="42"/>
    </row>
    <row r="1093" spans="1:9" ht="12.75" customHeight="1">
      <c r="A1093" s="43">
        <v>300</v>
      </c>
      <c r="B1093" s="43">
        <v>4</v>
      </c>
      <c r="C1093" s="43">
        <v>80</v>
      </c>
      <c r="D1093" s="43">
        <v>361.40000000000003</v>
      </c>
      <c r="E1093" s="43">
        <f t="shared" si="68"/>
        <v>81.434141102361153</v>
      </c>
      <c r="F1093" s="43">
        <f t="shared" si="69"/>
        <v>10.16</v>
      </c>
      <c r="G1093" s="43">
        <f t="shared" si="70"/>
        <v>551.58058239999298</v>
      </c>
      <c r="H1093" s="43">
        <f t="shared" si="71"/>
        <v>98.100995314644408</v>
      </c>
      <c r="I1093" s="42"/>
    </row>
    <row r="1094" spans="1:9" ht="12.75" customHeight="1">
      <c r="A1094" s="43">
        <v>300</v>
      </c>
      <c r="B1094" s="43">
        <v>4</v>
      </c>
      <c r="C1094" s="43">
        <v>90</v>
      </c>
      <c r="D1094" s="43">
        <v>366.20000000000005</v>
      </c>
      <c r="E1094" s="43">
        <f t="shared" si="68"/>
        <v>81.434141102361153</v>
      </c>
      <c r="F1094" s="43">
        <f t="shared" si="69"/>
        <v>10.16</v>
      </c>
      <c r="G1094" s="43">
        <f t="shared" si="70"/>
        <v>620.52815519999206</v>
      </c>
      <c r="H1094" s="43">
        <f t="shared" si="71"/>
        <v>99.403941572282207</v>
      </c>
      <c r="I1094" s="42"/>
    </row>
    <row r="1095" spans="1:9" ht="12.75" customHeight="1">
      <c r="A1095" s="43">
        <v>300</v>
      </c>
      <c r="B1095" s="43">
        <v>4</v>
      </c>
      <c r="C1095" s="43">
        <v>100</v>
      </c>
      <c r="D1095" s="43">
        <v>371</v>
      </c>
      <c r="E1095" s="43">
        <f t="shared" si="68"/>
        <v>81.434141102361153</v>
      </c>
      <c r="F1095" s="43">
        <f t="shared" si="69"/>
        <v>10.16</v>
      </c>
      <c r="G1095" s="43">
        <f t="shared" si="70"/>
        <v>689.47572799999114</v>
      </c>
      <c r="H1095" s="43">
        <f t="shared" si="71"/>
        <v>100.70688782991996</v>
      </c>
      <c r="I1095" s="42"/>
    </row>
    <row r="1096" spans="1:9" ht="12.75" customHeight="1">
      <c r="A1096" s="43">
        <v>300</v>
      </c>
      <c r="B1096" s="43">
        <v>4</v>
      </c>
      <c r="C1096" s="43">
        <v>150</v>
      </c>
      <c r="D1096" s="43">
        <v>387</v>
      </c>
      <c r="E1096" s="43">
        <f t="shared" si="68"/>
        <v>81.434141102361153</v>
      </c>
      <c r="F1096" s="43">
        <f t="shared" si="69"/>
        <v>10.16</v>
      </c>
      <c r="G1096" s="43">
        <f t="shared" si="70"/>
        <v>1034.2135919999869</v>
      </c>
      <c r="H1096" s="43">
        <f t="shared" si="71"/>
        <v>105.05004202204589</v>
      </c>
      <c r="I1096" s="42"/>
    </row>
    <row r="1097" spans="1:9" ht="12.75" customHeight="1">
      <c r="A1097" s="43">
        <v>300</v>
      </c>
      <c r="B1097" s="43">
        <v>4</v>
      </c>
      <c r="C1097" s="43">
        <v>200</v>
      </c>
      <c r="D1097" s="43">
        <v>403</v>
      </c>
      <c r="E1097" s="43">
        <f t="shared" si="68"/>
        <v>81.434141102361153</v>
      </c>
      <c r="F1097" s="43">
        <f t="shared" si="69"/>
        <v>10.16</v>
      </c>
      <c r="G1097" s="43">
        <f t="shared" si="70"/>
        <v>1378.9514559999823</v>
      </c>
      <c r="H1097" s="43">
        <f t="shared" si="71"/>
        <v>109.39319621417182</v>
      </c>
      <c r="I1097" s="42"/>
    </row>
    <row r="1098" spans="1:9" ht="12.75" customHeight="1">
      <c r="A1098" s="43">
        <v>300</v>
      </c>
      <c r="B1098" s="43">
        <v>4</v>
      </c>
      <c r="C1098" s="43">
        <v>250</v>
      </c>
      <c r="D1098" s="43">
        <v>419</v>
      </c>
      <c r="E1098" s="43">
        <f t="shared" si="68"/>
        <v>81.434141102361153</v>
      </c>
      <c r="F1098" s="43">
        <f t="shared" si="69"/>
        <v>10.16</v>
      </c>
      <c r="G1098" s="43">
        <f t="shared" si="70"/>
        <v>1723.6893199999779</v>
      </c>
      <c r="H1098" s="43">
        <f t="shared" si="71"/>
        <v>113.73635040629775</v>
      </c>
      <c r="I1098" s="42"/>
    </row>
    <row r="1099" spans="1:9" ht="12.75" customHeight="1">
      <c r="A1099" s="43">
        <v>300</v>
      </c>
      <c r="B1099" s="43">
        <v>4</v>
      </c>
      <c r="C1099" s="43">
        <v>300</v>
      </c>
      <c r="D1099" s="43">
        <v>435</v>
      </c>
      <c r="E1099" s="43">
        <f t="shared" si="68"/>
        <v>81.434141102361153</v>
      </c>
      <c r="F1099" s="43">
        <f t="shared" si="69"/>
        <v>10.16</v>
      </c>
      <c r="G1099" s="43">
        <f t="shared" si="70"/>
        <v>2068.4271839999737</v>
      </c>
      <c r="H1099" s="43">
        <f t="shared" si="71"/>
        <v>118.07950459842368</v>
      </c>
      <c r="I1099" s="42"/>
    </row>
    <row r="1100" spans="1:9" ht="12.75" customHeight="1">
      <c r="A1100" s="43">
        <v>300</v>
      </c>
      <c r="B1100" s="43">
        <v>4</v>
      </c>
      <c r="C1100" s="43">
        <v>350</v>
      </c>
      <c r="D1100" s="43">
        <v>449</v>
      </c>
      <c r="E1100" s="43">
        <f t="shared" si="68"/>
        <v>81.434141102361153</v>
      </c>
      <c r="F1100" s="43">
        <f t="shared" si="69"/>
        <v>10.16</v>
      </c>
      <c r="G1100" s="43">
        <f t="shared" si="70"/>
        <v>2413.1650479999689</v>
      </c>
      <c r="H1100" s="43">
        <f t="shared" si="71"/>
        <v>121.87976451653385</v>
      </c>
      <c r="I1100" s="42"/>
    </row>
    <row r="1101" spans="1:9" ht="12.75" customHeight="1">
      <c r="A1101" s="43">
        <v>300</v>
      </c>
      <c r="B1101" s="43">
        <v>4</v>
      </c>
      <c r="C1101" s="43">
        <v>400</v>
      </c>
      <c r="D1101" s="43">
        <v>463</v>
      </c>
      <c r="E1101" s="43">
        <f t="shared" si="68"/>
        <v>81.434141102361153</v>
      </c>
      <c r="F1101" s="43">
        <f t="shared" si="69"/>
        <v>10.16</v>
      </c>
      <c r="G1101" s="43">
        <f t="shared" si="70"/>
        <v>2757.9029119999645</v>
      </c>
      <c r="H1101" s="43">
        <f t="shared" si="71"/>
        <v>125.68002443464405</v>
      </c>
      <c r="I1101" s="42"/>
    </row>
    <row r="1102" spans="1:9" ht="12.75" customHeight="1">
      <c r="A1102" s="43">
        <v>300</v>
      </c>
      <c r="B1102" s="43">
        <v>4</v>
      </c>
      <c r="C1102" s="43">
        <v>450</v>
      </c>
      <c r="D1102" s="43">
        <v>477</v>
      </c>
      <c r="E1102" s="43">
        <f t="shared" si="68"/>
        <v>81.434141102361153</v>
      </c>
      <c r="F1102" s="43">
        <f t="shared" si="69"/>
        <v>10.16</v>
      </c>
      <c r="G1102" s="43">
        <f t="shared" si="70"/>
        <v>3102.6407759999602</v>
      </c>
      <c r="H1102" s="43">
        <f t="shared" si="71"/>
        <v>129.48028435275424</v>
      </c>
      <c r="I1102" s="42"/>
    </row>
    <row r="1103" spans="1:9" ht="12.75" customHeight="1">
      <c r="A1103" s="43">
        <v>300</v>
      </c>
      <c r="B1103" s="43">
        <v>4</v>
      </c>
      <c r="C1103" s="43">
        <v>500</v>
      </c>
      <c r="D1103" s="43">
        <v>491</v>
      </c>
      <c r="E1103" s="43">
        <f t="shared" si="68"/>
        <v>81.434141102361153</v>
      </c>
      <c r="F1103" s="43">
        <f t="shared" si="69"/>
        <v>10.16</v>
      </c>
      <c r="G1103" s="43">
        <f t="shared" si="70"/>
        <v>3447.3786399999558</v>
      </c>
      <c r="H1103" s="43">
        <f t="shared" si="71"/>
        <v>133.28054427086443</v>
      </c>
      <c r="I1103" s="42"/>
    </row>
    <row r="1104" spans="1:9" ht="12.75" customHeight="1">
      <c r="A1104" s="43">
        <v>300</v>
      </c>
      <c r="B1104" s="43">
        <v>4</v>
      </c>
      <c r="C1104" s="43">
        <v>550</v>
      </c>
      <c r="D1104" s="43">
        <v>503.6</v>
      </c>
      <c r="E1104" s="43">
        <f t="shared" si="68"/>
        <v>81.434141102361153</v>
      </c>
      <c r="F1104" s="43">
        <f t="shared" si="69"/>
        <v>10.16</v>
      </c>
      <c r="G1104" s="43">
        <f t="shared" si="70"/>
        <v>3792.1165039999514</v>
      </c>
      <c r="H1104" s="43">
        <f t="shared" si="71"/>
        <v>136.7007781971636</v>
      </c>
      <c r="I1104" s="42"/>
    </row>
    <row r="1105" spans="1:9" ht="12.75" customHeight="1">
      <c r="A1105" s="43">
        <v>300</v>
      </c>
      <c r="B1105" s="43">
        <v>4</v>
      </c>
      <c r="C1105" s="43">
        <v>600</v>
      </c>
      <c r="D1105" s="43">
        <v>516.20000000000005</v>
      </c>
      <c r="E1105" s="43">
        <f t="shared" si="68"/>
        <v>81.434141102361153</v>
      </c>
      <c r="F1105" s="43">
        <f t="shared" si="69"/>
        <v>10.16</v>
      </c>
      <c r="G1105" s="43">
        <f t="shared" si="70"/>
        <v>4136.8543679999475</v>
      </c>
      <c r="H1105" s="43">
        <f t="shared" si="71"/>
        <v>140.12101212346278</v>
      </c>
      <c r="I1105" s="42"/>
    </row>
    <row r="1106" spans="1:9" ht="12.75" customHeight="1">
      <c r="A1106" s="43">
        <v>300</v>
      </c>
      <c r="B1106" s="43">
        <v>4</v>
      </c>
      <c r="C1106" s="43">
        <v>650</v>
      </c>
      <c r="D1106" s="43">
        <v>528.80000000000007</v>
      </c>
      <c r="E1106" s="43">
        <f t="shared" si="68"/>
        <v>81.434141102361153</v>
      </c>
      <c r="F1106" s="43">
        <f t="shared" si="69"/>
        <v>10.16</v>
      </c>
      <c r="G1106" s="43">
        <f t="shared" si="70"/>
        <v>4481.5922319999427</v>
      </c>
      <c r="H1106" s="43">
        <f t="shared" si="71"/>
        <v>143.54124604976195</v>
      </c>
      <c r="I1106" s="42"/>
    </row>
    <row r="1107" spans="1:9" ht="12.75" customHeight="1">
      <c r="A1107" s="43">
        <v>300</v>
      </c>
      <c r="B1107" s="43">
        <v>4</v>
      </c>
      <c r="C1107" s="43">
        <v>700</v>
      </c>
      <c r="D1107" s="43">
        <v>541.40000000000009</v>
      </c>
      <c r="E1107" s="43">
        <f t="shared" si="68"/>
        <v>81.434141102361153</v>
      </c>
      <c r="F1107" s="43">
        <f t="shared" si="69"/>
        <v>10.16</v>
      </c>
      <c r="G1107" s="43">
        <f t="shared" si="70"/>
        <v>4826.3300959999378</v>
      </c>
      <c r="H1107" s="43">
        <f t="shared" si="71"/>
        <v>146.96147997606113</v>
      </c>
      <c r="I1107" s="42"/>
    </row>
    <row r="1108" spans="1:9" ht="12.75" customHeight="1">
      <c r="A1108" s="43">
        <v>300</v>
      </c>
      <c r="B1108" s="43">
        <v>4</v>
      </c>
      <c r="C1108" s="43">
        <v>750</v>
      </c>
      <c r="D1108" s="43">
        <v>554.00000000000011</v>
      </c>
      <c r="E1108" s="43">
        <f t="shared" si="68"/>
        <v>81.434141102361153</v>
      </c>
      <c r="F1108" s="43">
        <f t="shared" si="69"/>
        <v>10.16</v>
      </c>
      <c r="G1108" s="43">
        <f t="shared" si="70"/>
        <v>5171.0679599999339</v>
      </c>
      <c r="H1108" s="43">
        <f t="shared" si="71"/>
        <v>150.3817139023603</v>
      </c>
      <c r="I1108" s="42"/>
    </row>
    <row r="1109" spans="1:9" ht="12.75" customHeight="1">
      <c r="A1109" s="43">
        <v>300</v>
      </c>
      <c r="B1109" s="43">
        <v>4</v>
      </c>
      <c r="C1109" s="43">
        <v>800</v>
      </c>
      <c r="D1109" s="43">
        <v>566.60000000000014</v>
      </c>
      <c r="E1109" s="43">
        <f t="shared" si="68"/>
        <v>81.434141102361153</v>
      </c>
      <c r="F1109" s="43">
        <f t="shared" si="69"/>
        <v>10.16</v>
      </c>
      <c r="G1109" s="43">
        <f t="shared" si="70"/>
        <v>5515.8058239999291</v>
      </c>
      <c r="H1109" s="43">
        <f t="shared" si="71"/>
        <v>153.80194782865948</v>
      </c>
      <c r="I1109" s="42"/>
    </row>
    <row r="1110" spans="1:9" ht="12.75" customHeight="1">
      <c r="A1110" s="43">
        <v>300</v>
      </c>
      <c r="B1110" s="43">
        <v>4</v>
      </c>
      <c r="C1110" s="43">
        <v>850</v>
      </c>
      <c r="D1110" s="43">
        <v>579.20000000000016</v>
      </c>
      <c r="E1110" s="43">
        <f t="shared" si="68"/>
        <v>81.434141102361153</v>
      </c>
      <c r="F1110" s="43">
        <f t="shared" si="69"/>
        <v>10.16</v>
      </c>
      <c r="G1110" s="43">
        <f t="shared" si="70"/>
        <v>5860.5436879999252</v>
      </c>
      <c r="H1110" s="43">
        <f t="shared" si="71"/>
        <v>157.22218175495865</v>
      </c>
      <c r="I1110" s="42"/>
    </row>
    <row r="1111" spans="1:9" ht="12.75" customHeight="1">
      <c r="A1111" s="43">
        <v>300</v>
      </c>
      <c r="B1111" s="43">
        <v>4</v>
      </c>
      <c r="C1111" s="43">
        <v>900</v>
      </c>
      <c r="D1111" s="43">
        <v>591.80000000000018</v>
      </c>
      <c r="E1111" s="43">
        <f t="shared" si="68"/>
        <v>81.434141102361153</v>
      </c>
      <c r="F1111" s="43">
        <f t="shared" si="69"/>
        <v>10.16</v>
      </c>
      <c r="G1111" s="43">
        <f t="shared" si="70"/>
        <v>6205.2815519999203</v>
      </c>
      <c r="H1111" s="43">
        <f t="shared" si="71"/>
        <v>160.6424156812578</v>
      </c>
      <c r="I1111" s="42"/>
    </row>
    <row r="1112" spans="1:9" ht="12.75" customHeight="1">
      <c r="A1112" s="43">
        <v>300</v>
      </c>
      <c r="B1112" s="43">
        <v>4</v>
      </c>
      <c r="C1112" s="43">
        <v>950</v>
      </c>
      <c r="D1112" s="43">
        <v>604.4000000000002</v>
      </c>
      <c r="E1112" s="43">
        <f t="shared" si="68"/>
        <v>81.434141102361153</v>
      </c>
      <c r="F1112" s="43">
        <f t="shared" si="69"/>
        <v>10.16</v>
      </c>
      <c r="G1112" s="43">
        <f t="shared" si="70"/>
        <v>6550.0194159999164</v>
      </c>
      <c r="H1112" s="43">
        <f t="shared" si="71"/>
        <v>164.06264960755701</v>
      </c>
      <c r="I1112" s="42"/>
    </row>
    <row r="1113" spans="1:9" ht="12.75" customHeight="1">
      <c r="A1113" s="43">
        <v>300</v>
      </c>
      <c r="B1113" s="43">
        <v>4</v>
      </c>
      <c r="C1113" s="43">
        <v>1000</v>
      </c>
      <c r="D1113" s="43">
        <v>617</v>
      </c>
      <c r="E1113" s="43">
        <f t="shared" si="68"/>
        <v>81.434141102361153</v>
      </c>
      <c r="F1113" s="43">
        <f t="shared" si="69"/>
        <v>10.16</v>
      </c>
      <c r="G1113" s="43">
        <f t="shared" si="70"/>
        <v>6894.7572799999116</v>
      </c>
      <c r="H1113" s="43">
        <f t="shared" si="71"/>
        <v>167.48288353385612</v>
      </c>
      <c r="I1113" s="42"/>
    </row>
    <row r="1114" spans="1:9" ht="12.75" customHeight="1">
      <c r="A1114" s="43">
        <v>300</v>
      </c>
      <c r="B1114" s="43">
        <v>4</v>
      </c>
      <c r="C1114" s="43">
        <v>1100</v>
      </c>
      <c r="D1114" s="43">
        <v>638.9</v>
      </c>
      <c r="E1114" s="43">
        <f t="shared" si="68"/>
        <v>81.434141102361153</v>
      </c>
      <c r="F1114" s="43">
        <f t="shared" si="69"/>
        <v>10.16</v>
      </c>
      <c r="G1114" s="43">
        <f t="shared" si="70"/>
        <v>7584.2330079999028</v>
      </c>
      <c r="H1114" s="43">
        <f t="shared" si="71"/>
        <v>173.42757583432845</v>
      </c>
      <c r="I1114" s="42"/>
    </row>
    <row r="1115" spans="1:9" ht="12.75" customHeight="1">
      <c r="A1115" s="43">
        <v>300</v>
      </c>
      <c r="B1115" s="43">
        <v>4</v>
      </c>
      <c r="C1115" s="43">
        <v>1200</v>
      </c>
      <c r="D1115" s="43">
        <v>660.8</v>
      </c>
      <c r="E1115" s="43">
        <f t="shared" si="68"/>
        <v>81.434141102361153</v>
      </c>
      <c r="F1115" s="43">
        <f t="shared" si="69"/>
        <v>10.16</v>
      </c>
      <c r="G1115" s="43">
        <f t="shared" si="70"/>
        <v>8273.708735999895</v>
      </c>
      <c r="H1115" s="43">
        <f t="shared" si="71"/>
        <v>179.37226813480086</v>
      </c>
      <c r="I1115" s="42"/>
    </row>
    <row r="1116" spans="1:9" ht="12.75" customHeight="1">
      <c r="A1116" s="43">
        <v>300</v>
      </c>
      <c r="B1116" s="43">
        <v>4</v>
      </c>
      <c r="C1116" s="43">
        <v>1300</v>
      </c>
      <c r="D1116" s="43">
        <v>682.69999999999993</v>
      </c>
      <c r="E1116" s="43">
        <f t="shared" si="68"/>
        <v>81.434141102361153</v>
      </c>
      <c r="F1116" s="43">
        <f t="shared" si="69"/>
        <v>10.16</v>
      </c>
      <c r="G1116" s="43">
        <f t="shared" si="70"/>
        <v>8963.1844639998853</v>
      </c>
      <c r="H1116" s="43">
        <f t="shared" si="71"/>
        <v>185.31696043527319</v>
      </c>
      <c r="I1116" s="42"/>
    </row>
    <row r="1117" spans="1:9" ht="12.75" customHeight="1">
      <c r="A1117" s="43">
        <v>300</v>
      </c>
      <c r="B1117" s="43">
        <v>4</v>
      </c>
      <c r="C1117" s="43">
        <v>1400</v>
      </c>
      <c r="D1117" s="43">
        <v>704.59999999999991</v>
      </c>
      <c r="E1117" s="43">
        <f t="shared" si="68"/>
        <v>81.434141102361153</v>
      </c>
      <c r="F1117" s="43">
        <f t="shared" si="69"/>
        <v>10.16</v>
      </c>
      <c r="G1117" s="43">
        <f t="shared" si="70"/>
        <v>9652.6601919998757</v>
      </c>
      <c r="H1117" s="43">
        <f t="shared" si="71"/>
        <v>191.26165273574554</v>
      </c>
      <c r="I1117" s="42"/>
    </row>
    <row r="1118" spans="1:9" ht="12.75" customHeight="1">
      <c r="A1118" s="43">
        <v>300</v>
      </c>
      <c r="B1118" s="43">
        <v>4</v>
      </c>
      <c r="C1118" s="43">
        <v>1500</v>
      </c>
      <c r="D1118" s="43">
        <v>726.49999999999989</v>
      </c>
      <c r="E1118" s="43">
        <f t="shared" si="68"/>
        <v>81.434141102361153</v>
      </c>
      <c r="F1118" s="43">
        <f t="shared" si="69"/>
        <v>10.16</v>
      </c>
      <c r="G1118" s="43">
        <f t="shared" si="70"/>
        <v>10342.135919999868</v>
      </c>
      <c r="H1118" s="43">
        <f t="shared" si="71"/>
        <v>197.2063450362179</v>
      </c>
      <c r="I1118" s="42"/>
    </row>
    <row r="1119" spans="1:9" ht="12.75" customHeight="1">
      <c r="A1119" s="43">
        <v>300</v>
      </c>
      <c r="B1119" s="43">
        <v>4</v>
      </c>
      <c r="C1119" s="43">
        <v>1600</v>
      </c>
      <c r="D1119" s="43">
        <v>748.39999999999986</v>
      </c>
      <c r="E1119" s="43">
        <f t="shared" si="68"/>
        <v>81.434141102361153</v>
      </c>
      <c r="F1119" s="43">
        <f t="shared" si="69"/>
        <v>10.16</v>
      </c>
      <c r="G1119" s="43">
        <f t="shared" si="70"/>
        <v>11031.611647999858</v>
      </c>
      <c r="H1119" s="43">
        <f t="shared" si="71"/>
        <v>203.15103733669028</v>
      </c>
      <c r="I1119" s="42"/>
    </row>
    <row r="1120" spans="1:9" ht="12.75" customHeight="1">
      <c r="A1120" s="43">
        <v>300</v>
      </c>
      <c r="B1120" s="43">
        <v>4</v>
      </c>
      <c r="C1120" s="43">
        <v>1700</v>
      </c>
      <c r="D1120" s="43">
        <v>770.29999999999984</v>
      </c>
      <c r="E1120" s="43">
        <f t="shared" si="68"/>
        <v>81.434141102361153</v>
      </c>
      <c r="F1120" s="43">
        <f t="shared" si="69"/>
        <v>10.16</v>
      </c>
      <c r="G1120" s="43">
        <f t="shared" si="70"/>
        <v>11721.08737599985</v>
      </c>
      <c r="H1120" s="43">
        <f t="shared" si="71"/>
        <v>209.09572963716263</v>
      </c>
      <c r="I1120" s="42"/>
    </row>
    <row r="1121" spans="1:9" ht="12.75" customHeight="1">
      <c r="A1121" s="43">
        <v>300</v>
      </c>
      <c r="B1121" s="43">
        <v>4</v>
      </c>
      <c r="C1121" s="43">
        <v>1800</v>
      </c>
      <c r="D1121" s="43">
        <v>792.19999999999982</v>
      </c>
      <c r="E1121" s="43">
        <f t="shared" si="68"/>
        <v>81.434141102361153</v>
      </c>
      <c r="F1121" s="43">
        <f t="shared" si="69"/>
        <v>10.16</v>
      </c>
      <c r="G1121" s="43">
        <f t="shared" si="70"/>
        <v>12410.563103999841</v>
      </c>
      <c r="H1121" s="43">
        <f t="shared" si="71"/>
        <v>215.04042193763499</v>
      </c>
      <c r="I1121" s="42"/>
    </row>
    <row r="1122" spans="1:9" ht="12.75" customHeight="1">
      <c r="A1122" s="43">
        <v>300</v>
      </c>
      <c r="B1122" s="43">
        <v>4</v>
      </c>
      <c r="C1122" s="43">
        <v>1900</v>
      </c>
      <c r="D1122" s="43">
        <v>814.0999999999998</v>
      </c>
      <c r="E1122" s="43">
        <f t="shared" si="68"/>
        <v>81.434141102361153</v>
      </c>
      <c r="F1122" s="43">
        <f t="shared" si="69"/>
        <v>10.16</v>
      </c>
      <c r="G1122" s="43">
        <f t="shared" si="70"/>
        <v>13100.038831999833</v>
      </c>
      <c r="H1122" s="43">
        <f t="shared" si="71"/>
        <v>220.98511423810731</v>
      </c>
      <c r="I1122" s="42"/>
    </row>
    <row r="1123" spans="1:9" ht="12.75" customHeight="1">
      <c r="A1123" s="43">
        <v>300</v>
      </c>
      <c r="B1123" s="43">
        <v>4</v>
      </c>
      <c r="C1123" s="43">
        <v>2000</v>
      </c>
      <c r="D1123" s="43">
        <v>836</v>
      </c>
      <c r="E1123" s="43">
        <f t="shared" si="68"/>
        <v>81.434141102361153</v>
      </c>
      <c r="F1123" s="43">
        <f t="shared" si="69"/>
        <v>10.16</v>
      </c>
      <c r="G1123" s="43">
        <f t="shared" si="70"/>
        <v>13789.514559999823</v>
      </c>
      <c r="H1123" s="43">
        <f t="shared" si="71"/>
        <v>226.92980653857975</v>
      </c>
      <c r="I1123" s="42"/>
    </row>
    <row r="1124" spans="1:9" ht="12.75" customHeight="1">
      <c r="A1124" s="43">
        <v>300</v>
      </c>
      <c r="B1124" s="43">
        <v>5</v>
      </c>
      <c r="C1124" s="43">
        <v>50</v>
      </c>
      <c r="D1124" s="43">
        <v>360</v>
      </c>
      <c r="E1124" s="43">
        <f t="shared" si="68"/>
        <v>81.434141102361153</v>
      </c>
      <c r="F1124" s="43">
        <f t="shared" si="69"/>
        <v>12.7</v>
      </c>
      <c r="G1124" s="43">
        <f t="shared" si="70"/>
        <v>344.73786399999557</v>
      </c>
      <c r="H1124" s="43">
        <f t="shared" si="71"/>
        <v>97.720969322833398</v>
      </c>
      <c r="I1124" s="42"/>
    </row>
    <row r="1125" spans="1:9" ht="12.75" customHeight="1">
      <c r="A1125" s="43">
        <v>300</v>
      </c>
      <c r="B1125" s="43">
        <v>5</v>
      </c>
      <c r="C1125" s="43">
        <v>60</v>
      </c>
      <c r="D1125" s="43">
        <v>366.8</v>
      </c>
      <c r="E1125" s="43">
        <f t="shared" si="68"/>
        <v>81.434141102361153</v>
      </c>
      <c r="F1125" s="43">
        <f t="shared" si="69"/>
        <v>12.7</v>
      </c>
      <c r="G1125" s="43">
        <f t="shared" si="70"/>
        <v>413.6854367999947</v>
      </c>
      <c r="H1125" s="43">
        <f t="shared" si="71"/>
        <v>99.56680985448692</v>
      </c>
      <c r="I1125" s="42"/>
    </row>
    <row r="1126" spans="1:9" ht="12.75" customHeight="1">
      <c r="A1126" s="43">
        <v>300</v>
      </c>
      <c r="B1126" s="43">
        <v>5</v>
      </c>
      <c r="C1126" s="43">
        <v>70</v>
      </c>
      <c r="D1126" s="43">
        <v>373.6</v>
      </c>
      <c r="E1126" s="43">
        <f t="shared" si="68"/>
        <v>81.434141102361153</v>
      </c>
      <c r="F1126" s="43">
        <f t="shared" si="69"/>
        <v>12.7</v>
      </c>
      <c r="G1126" s="43">
        <f t="shared" si="70"/>
        <v>482.63300959999384</v>
      </c>
      <c r="H1126" s="43">
        <f t="shared" si="71"/>
        <v>101.41265038614044</v>
      </c>
      <c r="I1126" s="42"/>
    </row>
    <row r="1127" spans="1:9" ht="12.75" customHeight="1">
      <c r="A1127" s="43">
        <v>300</v>
      </c>
      <c r="B1127" s="43">
        <v>5</v>
      </c>
      <c r="C1127" s="43">
        <v>80</v>
      </c>
      <c r="D1127" s="43">
        <v>380.40000000000003</v>
      </c>
      <c r="E1127" s="43">
        <f t="shared" si="68"/>
        <v>81.434141102361153</v>
      </c>
      <c r="F1127" s="43">
        <f t="shared" si="69"/>
        <v>12.7</v>
      </c>
      <c r="G1127" s="43">
        <f t="shared" si="70"/>
        <v>551.58058239999298</v>
      </c>
      <c r="H1127" s="43">
        <f t="shared" si="71"/>
        <v>103.25849091779396</v>
      </c>
      <c r="I1127" s="42"/>
    </row>
    <row r="1128" spans="1:9" ht="12.75" customHeight="1">
      <c r="A1128" s="43">
        <v>300</v>
      </c>
      <c r="B1128" s="43">
        <v>5</v>
      </c>
      <c r="C1128" s="43">
        <v>90</v>
      </c>
      <c r="D1128" s="43">
        <v>387.20000000000005</v>
      </c>
      <c r="E1128" s="43">
        <f t="shared" si="68"/>
        <v>81.434141102361153</v>
      </c>
      <c r="F1128" s="43">
        <f t="shared" si="69"/>
        <v>12.7</v>
      </c>
      <c r="G1128" s="43">
        <f t="shared" si="70"/>
        <v>620.52815519999206</v>
      </c>
      <c r="H1128" s="43">
        <f t="shared" si="71"/>
        <v>105.10433144944749</v>
      </c>
      <c r="I1128" s="42"/>
    </row>
    <row r="1129" spans="1:9" ht="12.75" customHeight="1">
      <c r="A1129" s="43">
        <v>300</v>
      </c>
      <c r="B1129" s="43">
        <v>5</v>
      </c>
      <c r="C1129" s="43">
        <v>100</v>
      </c>
      <c r="D1129" s="43">
        <v>394</v>
      </c>
      <c r="E1129" s="43">
        <f t="shared" si="68"/>
        <v>81.434141102361153</v>
      </c>
      <c r="F1129" s="43">
        <f t="shared" si="69"/>
        <v>12.7</v>
      </c>
      <c r="G1129" s="43">
        <f t="shared" si="70"/>
        <v>689.47572799999114</v>
      </c>
      <c r="H1129" s="43">
        <f t="shared" si="71"/>
        <v>106.95017198110099</v>
      </c>
      <c r="I1129" s="42"/>
    </row>
    <row r="1130" spans="1:9" ht="12.75" customHeight="1">
      <c r="A1130" s="43">
        <v>300</v>
      </c>
      <c r="B1130" s="43">
        <v>5</v>
      </c>
      <c r="C1130" s="43">
        <v>150</v>
      </c>
      <c r="D1130" s="43">
        <v>419</v>
      </c>
      <c r="E1130" s="43">
        <f t="shared" si="68"/>
        <v>81.434141102361153</v>
      </c>
      <c r="F1130" s="43">
        <f t="shared" si="69"/>
        <v>12.7</v>
      </c>
      <c r="G1130" s="43">
        <f t="shared" si="70"/>
        <v>1034.2135919999869</v>
      </c>
      <c r="H1130" s="43">
        <f t="shared" si="71"/>
        <v>113.73635040629775</v>
      </c>
      <c r="I1130" s="42"/>
    </row>
    <row r="1131" spans="1:9" ht="12.75" customHeight="1">
      <c r="A1131" s="43">
        <v>300</v>
      </c>
      <c r="B1131" s="43">
        <v>5</v>
      </c>
      <c r="C1131" s="43">
        <v>200</v>
      </c>
      <c r="D1131" s="43">
        <v>444</v>
      </c>
      <c r="E1131" s="43">
        <f t="shared" si="68"/>
        <v>81.434141102361153</v>
      </c>
      <c r="F1131" s="43">
        <f t="shared" si="69"/>
        <v>12.7</v>
      </c>
      <c r="G1131" s="43">
        <f t="shared" si="70"/>
        <v>1378.9514559999823</v>
      </c>
      <c r="H1131" s="43">
        <f t="shared" si="71"/>
        <v>120.52252883149451</v>
      </c>
      <c r="I1131" s="42"/>
    </row>
    <row r="1132" spans="1:9" ht="12.75" customHeight="1">
      <c r="A1132" s="43">
        <v>300</v>
      </c>
      <c r="B1132" s="43">
        <v>5</v>
      </c>
      <c r="C1132" s="43">
        <v>250</v>
      </c>
      <c r="D1132" s="43">
        <v>469</v>
      </c>
      <c r="E1132" s="43">
        <f t="shared" si="68"/>
        <v>81.434141102361153</v>
      </c>
      <c r="F1132" s="43">
        <f t="shared" si="69"/>
        <v>12.7</v>
      </c>
      <c r="G1132" s="43">
        <f t="shared" si="70"/>
        <v>1723.6893199999779</v>
      </c>
      <c r="H1132" s="43">
        <f t="shared" si="71"/>
        <v>127.30870725669129</v>
      </c>
      <c r="I1132" s="42"/>
    </row>
    <row r="1133" spans="1:9" ht="12.75" customHeight="1">
      <c r="A1133" s="43">
        <v>300</v>
      </c>
      <c r="B1133" s="43">
        <v>5</v>
      </c>
      <c r="C1133" s="43">
        <v>300</v>
      </c>
      <c r="D1133" s="43">
        <v>494</v>
      </c>
      <c r="E1133" s="43">
        <f t="shared" si="68"/>
        <v>81.434141102361153</v>
      </c>
      <c r="F1133" s="43">
        <f t="shared" si="69"/>
        <v>12.7</v>
      </c>
      <c r="G1133" s="43">
        <f t="shared" si="70"/>
        <v>2068.4271839999737</v>
      </c>
      <c r="H1133" s="43">
        <f t="shared" si="71"/>
        <v>134.09488568188806</v>
      </c>
      <c r="I1133" s="42"/>
    </row>
    <row r="1134" spans="1:9" ht="12.75" customHeight="1">
      <c r="A1134" s="43">
        <v>300</v>
      </c>
      <c r="B1134" s="43">
        <v>5</v>
      </c>
      <c r="C1134" s="43">
        <v>350</v>
      </c>
      <c r="D1134" s="43">
        <v>516.5</v>
      </c>
      <c r="E1134" s="43">
        <f t="shared" si="68"/>
        <v>81.434141102361153</v>
      </c>
      <c r="F1134" s="43">
        <f t="shared" si="69"/>
        <v>12.7</v>
      </c>
      <c r="G1134" s="43">
        <f t="shared" si="70"/>
        <v>2413.1650479999689</v>
      </c>
      <c r="H1134" s="43">
        <f t="shared" si="71"/>
        <v>140.20244626456514</v>
      </c>
      <c r="I1134" s="42"/>
    </row>
    <row r="1135" spans="1:9" ht="12.75" customHeight="1">
      <c r="A1135" s="43">
        <v>300</v>
      </c>
      <c r="B1135" s="43">
        <v>5</v>
      </c>
      <c r="C1135" s="43">
        <v>400</v>
      </c>
      <c r="D1135" s="43">
        <v>539</v>
      </c>
      <c r="E1135" s="43">
        <f t="shared" si="68"/>
        <v>81.434141102361153</v>
      </c>
      <c r="F1135" s="43">
        <f t="shared" si="69"/>
        <v>12.7</v>
      </c>
      <c r="G1135" s="43">
        <f t="shared" si="70"/>
        <v>2757.9029119999645</v>
      </c>
      <c r="H1135" s="43">
        <f t="shared" si="71"/>
        <v>146.31000684724222</v>
      </c>
      <c r="I1135" s="42"/>
    </row>
    <row r="1136" spans="1:9" ht="12.75" customHeight="1">
      <c r="A1136" s="43">
        <v>300</v>
      </c>
      <c r="B1136" s="43">
        <v>5</v>
      </c>
      <c r="C1136" s="43">
        <v>450</v>
      </c>
      <c r="D1136" s="43">
        <v>561.5</v>
      </c>
      <c r="E1136" s="43">
        <f t="shared" si="68"/>
        <v>81.434141102361153</v>
      </c>
      <c r="F1136" s="43">
        <f t="shared" si="69"/>
        <v>12.7</v>
      </c>
      <c r="G1136" s="43">
        <f t="shared" si="70"/>
        <v>3102.6407759999602</v>
      </c>
      <c r="H1136" s="43">
        <f t="shared" si="71"/>
        <v>152.4175674299193</v>
      </c>
      <c r="I1136" s="42"/>
    </row>
    <row r="1137" spans="1:9" ht="12.75" customHeight="1">
      <c r="A1137" s="43">
        <v>300</v>
      </c>
      <c r="B1137" s="43">
        <v>5</v>
      </c>
      <c r="C1137" s="43">
        <v>500</v>
      </c>
      <c r="D1137" s="43">
        <v>584</v>
      </c>
      <c r="E1137" s="43">
        <f t="shared" si="68"/>
        <v>81.434141102361153</v>
      </c>
      <c r="F1137" s="43">
        <f t="shared" si="69"/>
        <v>12.7</v>
      </c>
      <c r="G1137" s="43">
        <f t="shared" si="70"/>
        <v>3447.3786399999558</v>
      </c>
      <c r="H1137" s="43">
        <f t="shared" si="71"/>
        <v>158.52512801259641</v>
      </c>
      <c r="I1137" s="42"/>
    </row>
    <row r="1138" spans="1:9" ht="12.75" customHeight="1">
      <c r="A1138" s="43">
        <v>300</v>
      </c>
      <c r="B1138" s="43">
        <v>5</v>
      </c>
      <c r="C1138" s="43">
        <v>550</v>
      </c>
      <c r="D1138" s="43">
        <v>605.20000000000005</v>
      </c>
      <c r="E1138" s="43">
        <f t="shared" si="68"/>
        <v>81.434141102361153</v>
      </c>
      <c r="F1138" s="43">
        <f t="shared" si="69"/>
        <v>12.7</v>
      </c>
      <c r="G1138" s="43">
        <f t="shared" si="70"/>
        <v>3792.1165039999514</v>
      </c>
      <c r="H1138" s="43">
        <f t="shared" si="71"/>
        <v>164.27980731716323</v>
      </c>
      <c r="I1138" s="42"/>
    </row>
    <row r="1139" spans="1:9" ht="12.75" customHeight="1">
      <c r="A1139" s="43">
        <v>300</v>
      </c>
      <c r="B1139" s="43">
        <v>5</v>
      </c>
      <c r="C1139" s="43">
        <v>600</v>
      </c>
      <c r="D1139" s="43">
        <v>626.40000000000009</v>
      </c>
      <c r="E1139" s="43">
        <f t="shared" si="68"/>
        <v>81.434141102361153</v>
      </c>
      <c r="F1139" s="43">
        <f t="shared" si="69"/>
        <v>12.7</v>
      </c>
      <c r="G1139" s="43">
        <f t="shared" si="70"/>
        <v>4136.8543679999475</v>
      </c>
      <c r="H1139" s="43">
        <f t="shared" si="71"/>
        <v>170.03448662173011</v>
      </c>
      <c r="I1139" s="42"/>
    </row>
    <row r="1140" spans="1:9" ht="12.75" customHeight="1">
      <c r="A1140" s="43">
        <v>300</v>
      </c>
      <c r="B1140" s="43">
        <v>5</v>
      </c>
      <c r="C1140" s="43">
        <v>650</v>
      </c>
      <c r="D1140" s="43">
        <v>647.60000000000014</v>
      </c>
      <c r="E1140" s="43">
        <f t="shared" si="68"/>
        <v>81.434141102361153</v>
      </c>
      <c r="F1140" s="43">
        <f t="shared" si="69"/>
        <v>12.7</v>
      </c>
      <c r="G1140" s="43">
        <f t="shared" si="70"/>
        <v>4481.5922319999427</v>
      </c>
      <c r="H1140" s="43">
        <f t="shared" si="71"/>
        <v>175.78916592629699</v>
      </c>
      <c r="I1140" s="42"/>
    </row>
    <row r="1141" spans="1:9" ht="12.75" customHeight="1">
      <c r="A1141" s="43">
        <v>300</v>
      </c>
      <c r="B1141" s="43">
        <v>5</v>
      </c>
      <c r="C1141" s="43">
        <v>700</v>
      </c>
      <c r="D1141" s="43">
        <v>668.80000000000018</v>
      </c>
      <c r="E1141" s="43">
        <f t="shared" si="68"/>
        <v>81.434141102361153</v>
      </c>
      <c r="F1141" s="43">
        <f t="shared" si="69"/>
        <v>12.7</v>
      </c>
      <c r="G1141" s="43">
        <f t="shared" si="70"/>
        <v>4826.3300959999378</v>
      </c>
      <c r="H1141" s="43">
        <f t="shared" si="71"/>
        <v>181.54384523086387</v>
      </c>
      <c r="I1141" s="42"/>
    </row>
    <row r="1142" spans="1:9" ht="12.75" customHeight="1">
      <c r="A1142" s="43">
        <v>300</v>
      </c>
      <c r="B1142" s="43">
        <v>5</v>
      </c>
      <c r="C1142" s="43">
        <v>750</v>
      </c>
      <c r="D1142" s="43">
        <v>690.00000000000023</v>
      </c>
      <c r="E1142" s="43">
        <f t="shared" si="68"/>
        <v>81.434141102361153</v>
      </c>
      <c r="F1142" s="43">
        <f t="shared" si="69"/>
        <v>12.7</v>
      </c>
      <c r="G1142" s="43">
        <f t="shared" si="70"/>
        <v>5171.0679599999339</v>
      </c>
      <c r="H1142" s="43">
        <f t="shared" si="71"/>
        <v>187.29852453543072</v>
      </c>
      <c r="I1142" s="42"/>
    </row>
    <row r="1143" spans="1:9" ht="12.75" customHeight="1">
      <c r="A1143" s="43">
        <v>300</v>
      </c>
      <c r="B1143" s="43">
        <v>5</v>
      </c>
      <c r="C1143" s="43">
        <v>800</v>
      </c>
      <c r="D1143" s="43">
        <v>711.20000000000027</v>
      </c>
      <c r="E1143" s="43">
        <f t="shared" si="68"/>
        <v>81.434141102361153</v>
      </c>
      <c r="F1143" s="43">
        <f t="shared" si="69"/>
        <v>12.7</v>
      </c>
      <c r="G1143" s="43">
        <f t="shared" si="70"/>
        <v>5515.8058239999291</v>
      </c>
      <c r="H1143" s="43">
        <f t="shared" si="71"/>
        <v>193.05320383999759</v>
      </c>
      <c r="I1143" s="42"/>
    </row>
    <row r="1144" spans="1:9" ht="12.75" customHeight="1">
      <c r="A1144" s="43">
        <v>300</v>
      </c>
      <c r="B1144" s="43">
        <v>5</v>
      </c>
      <c r="C1144" s="43">
        <v>850</v>
      </c>
      <c r="D1144" s="43">
        <v>732.40000000000032</v>
      </c>
      <c r="E1144" s="43">
        <f t="shared" si="68"/>
        <v>81.434141102361153</v>
      </c>
      <c r="F1144" s="43">
        <f t="shared" si="69"/>
        <v>12.7</v>
      </c>
      <c r="G1144" s="43">
        <f t="shared" si="70"/>
        <v>5860.5436879999252</v>
      </c>
      <c r="H1144" s="43">
        <f t="shared" si="71"/>
        <v>198.80788314456447</v>
      </c>
      <c r="I1144" s="42"/>
    </row>
    <row r="1145" spans="1:9" ht="12.75" customHeight="1">
      <c r="A1145" s="43">
        <v>300</v>
      </c>
      <c r="B1145" s="43">
        <v>5</v>
      </c>
      <c r="C1145" s="43">
        <v>900</v>
      </c>
      <c r="D1145" s="43">
        <v>753.60000000000036</v>
      </c>
      <c r="E1145" s="43">
        <f t="shared" si="68"/>
        <v>81.434141102361153</v>
      </c>
      <c r="F1145" s="43">
        <f t="shared" si="69"/>
        <v>12.7</v>
      </c>
      <c r="G1145" s="43">
        <f t="shared" si="70"/>
        <v>6205.2815519999203</v>
      </c>
      <c r="H1145" s="43">
        <f t="shared" si="71"/>
        <v>204.56256244913132</v>
      </c>
      <c r="I1145" s="42"/>
    </row>
    <row r="1146" spans="1:9" ht="12.75" customHeight="1">
      <c r="A1146" s="43">
        <v>300</v>
      </c>
      <c r="B1146" s="43">
        <v>5</v>
      </c>
      <c r="C1146" s="43">
        <v>950</v>
      </c>
      <c r="D1146" s="43">
        <v>774.80000000000041</v>
      </c>
      <c r="E1146" s="43">
        <f t="shared" si="68"/>
        <v>81.434141102361153</v>
      </c>
      <c r="F1146" s="43">
        <f t="shared" si="69"/>
        <v>12.7</v>
      </c>
      <c r="G1146" s="43">
        <f t="shared" si="70"/>
        <v>6550.0194159999164</v>
      </c>
      <c r="H1146" s="43">
        <f t="shared" si="71"/>
        <v>210.3172417536982</v>
      </c>
      <c r="I1146" s="42"/>
    </row>
    <row r="1147" spans="1:9" ht="12.75" customHeight="1">
      <c r="A1147" s="43">
        <v>300</v>
      </c>
      <c r="B1147" s="43">
        <v>5</v>
      </c>
      <c r="C1147" s="43">
        <v>1000</v>
      </c>
      <c r="D1147" s="43">
        <v>796</v>
      </c>
      <c r="E1147" s="43">
        <f t="shared" si="68"/>
        <v>81.434141102361153</v>
      </c>
      <c r="F1147" s="43">
        <f t="shared" si="69"/>
        <v>12.7</v>
      </c>
      <c r="G1147" s="43">
        <f t="shared" si="70"/>
        <v>6894.7572799999116</v>
      </c>
      <c r="H1147" s="43">
        <f t="shared" si="71"/>
        <v>216.07192105826493</v>
      </c>
      <c r="I1147" s="42"/>
    </row>
    <row r="1148" spans="1:9" ht="12.75" customHeight="1">
      <c r="A1148" s="43">
        <v>300</v>
      </c>
      <c r="B1148" s="43">
        <v>5</v>
      </c>
      <c r="C1148" s="43">
        <v>1100</v>
      </c>
      <c r="D1148" s="43">
        <v>831.1</v>
      </c>
      <c r="E1148" s="43">
        <f t="shared" si="68"/>
        <v>81.434141102361153</v>
      </c>
      <c r="F1148" s="43">
        <f t="shared" si="69"/>
        <v>12.7</v>
      </c>
      <c r="G1148" s="43">
        <f t="shared" si="70"/>
        <v>7584.2330079999028</v>
      </c>
      <c r="H1148" s="43">
        <f t="shared" si="71"/>
        <v>225.59971556724119</v>
      </c>
      <c r="I1148" s="42"/>
    </row>
    <row r="1149" spans="1:9" ht="12.75" customHeight="1">
      <c r="A1149" s="43">
        <v>300</v>
      </c>
      <c r="B1149" s="43">
        <v>5</v>
      </c>
      <c r="C1149" s="43">
        <v>1200</v>
      </c>
      <c r="D1149" s="43">
        <v>866.2</v>
      </c>
      <c r="E1149" s="43">
        <f t="shared" si="68"/>
        <v>81.434141102361153</v>
      </c>
      <c r="F1149" s="43">
        <f t="shared" si="69"/>
        <v>12.7</v>
      </c>
      <c r="G1149" s="43">
        <f t="shared" si="70"/>
        <v>8273.708735999895</v>
      </c>
      <c r="H1149" s="43">
        <f t="shared" si="71"/>
        <v>235.12751007621748</v>
      </c>
      <c r="I1149" s="42"/>
    </row>
    <row r="1150" spans="1:9" ht="12.75" customHeight="1">
      <c r="A1150" s="43">
        <v>300</v>
      </c>
      <c r="B1150" s="43">
        <v>5</v>
      </c>
      <c r="C1150" s="43">
        <v>1300</v>
      </c>
      <c r="D1150" s="43">
        <v>901.30000000000007</v>
      </c>
      <c r="E1150" s="43">
        <f t="shared" si="68"/>
        <v>81.434141102361153</v>
      </c>
      <c r="F1150" s="43">
        <f t="shared" si="69"/>
        <v>12.7</v>
      </c>
      <c r="G1150" s="43">
        <f t="shared" si="70"/>
        <v>8963.1844639998853</v>
      </c>
      <c r="H1150" s="43">
        <f t="shared" si="71"/>
        <v>244.65530458519373</v>
      </c>
      <c r="I1150" s="42"/>
    </row>
    <row r="1151" spans="1:9" ht="12.75" customHeight="1">
      <c r="A1151" s="43">
        <v>300</v>
      </c>
      <c r="B1151" s="43">
        <v>5</v>
      </c>
      <c r="C1151" s="43">
        <v>1400</v>
      </c>
      <c r="D1151" s="43">
        <v>936.40000000000009</v>
      </c>
      <c r="E1151" s="43">
        <f t="shared" si="68"/>
        <v>81.434141102361153</v>
      </c>
      <c r="F1151" s="43">
        <f t="shared" si="69"/>
        <v>12.7</v>
      </c>
      <c r="G1151" s="43">
        <f t="shared" si="70"/>
        <v>9652.6601919998757</v>
      </c>
      <c r="H1151" s="43">
        <f t="shared" si="71"/>
        <v>254.18309909416999</v>
      </c>
      <c r="I1151" s="42"/>
    </row>
    <row r="1152" spans="1:9" ht="12.75" customHeight="1">
      <c r="A1152" s="43">
        <v>300</v>
      </c>
      <c r="B1152" s="43">
        <v>5</v>
      </c>
      <c r="C1152" s="43">
        <v>1500</v>
      </c>
      <c r="D1152" s="43">
        <v>971.50000000000011</v>
      </c>
      <c r="E1152" s="43">
        <f t="shared" si="68"/>
        <v>81.434141102361153</v>
      </c>
      <c r="F1152" s="43">
        <f t="shared" si="69"/>
        <v>12.7</v>
      </c>
      <c r="G1152" s="43">
        <f t="shared" si="70"/>
        <v>10342.135919999868</v>
      </c>
      <c r="H1152" s="43">
        <f t="shared" si="71"/>
        <v>263.71089360314625</v>
      </c>
      <c r="I1152" s="42"/>
    </row>
    <row r="1153" spans="1:9" ht="12.75" customHeight="1">
      <c r="A1153" s="43">
        <v>300</v>
      </c>
      <c r="B1153" s="43">
        <v>5</v>
      </c>
      <c r="C1153" s="43">
        <v>1600</v>
      </c>
      <c r="D1153" s="43">
        <v>1006.6000000000001</v>
      </c>
      <c r="E1153" s="43">
        <f t="shared" si="68"/>
        <v>81.434141102361153</v>
      </c>
      <c r="F1153" s="43">
        <f t="shared" si="69"/>
        <v>12.7</v>
      </c>
      <c r="G1153" s="43">
        <f t="shared" si="70"/>
        <v>11031.611647999858</v>
      </c>
      <c r="H1153" s="43">
        <f t="shared" si="71"/>
        <v>273.23868811212253</v>
      </c>
      <c r="I1153" s="42"/>
    </row>
    <row r="1154" spans="1:9" ht="12.75" customHeight="1">
      <c r="A1154" s="43">
        <v>300</v>
      </c>
      <c r="B1154" s="43">
        <v>5</v>
      </c>
      <c r="C1154" s="43">
        <v>1700</v>
      </c>
      <c r="D1154" s="43">
        <v>1041.7</v>
      </c>
      <c r="E1154" s="43">
        <f t="shared" si="68"/>
        <v>81.434141102361153</v>
      </c>
      <c r="F1154" s="43">
        <f t="shared" si="69"/>
        <v>12.7</v>
      </c>
      <c r="G1154" s="43">
        <f t="shared" si="70"/>
        <v>11721.08737599985</v>
      </c>
      <c r="H1154" s="43">
        <f t="shared" si="71"/>
        <v>282.76648262109876</v>
      </c>
      <c r="I1154" s="42"/>
    </row>
    <row r="1155" spans="1:9" ht="12.75" customHeight="1">
      <c r="A1155" s="43">
        <v>300</v>
      </c>
      <c r="B1155" s="43">
        <v>5</v>
      </c>
      <c r="C1155" s="43">
        <v>1800</v>
      </c>
      <c r="D1155" s="43">
        <v>1076.8</v>
      </c>
      <c r="E1155" s="43">
        <f t="shared" ref="E1155:E1191" si="72">A1155/145.03773800722/0.0254</f>
        <v>81.434141102361153</v>
      </c>
      <c r="F1155" s="43">
        <f t="shared" ref="F1155:F1191" si="73">B1155*2.54</f>
        <v>12.7</v>
      </c>
      <c r="G1155" s="43">
        <f t="shared" ref="G1155:G1191" si="74">C1155/0.14503773800722</f>
        <v>12410.563103999841</v>
      </c>
      <c r="H1155" s="43">
        <f t="shared" ref="H1155:H1191" si="75">D1155/145.03773800722/0.0254</f>
        <v>292.29427713007493</v>
      </c>
      <c r="I1155" s="42"/>
    </row>
    <row r="1156" spans="1:9" ht="12.75" customHeight="1">
      <c r="A1156" s="43">
        <v>300</v>
      </c>
      <c r="B1156" s="43">
        <v>5</v>
      </c>
      <c r="C1156" s="43">
        <v>1900</v>
      </c>
      <c r="D1156" s="43">
        <v>1111.8999999999999</v>
      </c>
      <c r="E1156" s="43">
        <f t="shared" si="72"/>
        <v>81.434141102361153</v>
      </c>
      <c r="F1156" s="43">
        <f t="shared" si="73"/>
        <v>12.7</v>
      </c>
      <c r="G1156" s="43">
        <f t="shared" si="74"/>
        <v>13100.038831999833</v>
      </c>
      <c r="H1156" s="43">
        <f t="shared" si="75"/>
        <v>301.82207163905122</v>
      </c>
      <c r="I1156" s="42"/>
    </row>
    <row r="1157" spans="1:9" ht="12.75" customHeight="1">
      <c r="A1157" s="43">
        <v>300</v>
      </c>
      <c r="B1157" s="43">
        <v>5</v>
      </c>
      <c r="C1157" s="43">
        <v>2000</v>
      </c>
      <c r="D1157" s="43">
        <v>1147</v>
      </c>
      <c r="E1157" s="43">
        <f t="shared" si="72"/>
        <v>81.434141102361153</v>
      </c>
      <c r="F1157" s="43">
        <f t="shared" si="73"/>
        <v>12.7</v>
      </c>
      <c r="G1157" s="43">
        <f t="shared" si="74"/>
        <v>13789.514559999823</v>
      </c>
      <c r="H1157" s="43">
        <f t="shared" si="75"/>
        <v>311.3498661480275</v>
      </c>
      <c r="I1157" s="42"/>
    </row>
    <row r="1158" spans="1:9" ht="12.75" customHeight="1">
      <c r="A1158" s="43">
        <v>300</v>
      </c>
      <c r="B1158" s="43">
        <v>6</v>
      </c>
      <c r="C1158" s="43">
        <v>50</v>
      </c>
      <c r="D1158" s="43">
        <v>377</v>
      </c>
      <c r="E1158" s="43">
        <f t="shared" si="72"/>
        <v>81.434141102361153</v>
      </c>
      <c r="F1158" s="43">
        <f t="shared" si="73"/>
        <v>15.24</v>
      </c>
      <c r="G1158" s="43">
        <f t="shared" si="74"/>
        <v>344.73786399999557</v>
      </c>
      <c r="H1158" s="43">
        <f t="shared" si="75"/>
        <v>102.33557065196719</v>
      </c>
      <c r="I1158" s="42"/>
    </row>
    <row r="1159" spans="1:9" ht="12.75" customHeight="1">
      <c r="A1159" s="43">
        <v>300</v>
      </c>
      <c r="B1159" s="43">
        <v>6</v>
      </c>
      <c r="C1159" s="43">
        <v>60</v>
      </c>
      <c r="D1159" s="43">
        <v>386.2</v>
      </c>
      <c r="E1159" s="43">
        <f t="shared" si="72"/>
        <v>81.434141102361153</v>
      </c>
      <c r="F1159" s="43">
        <f t="shared" si="73"/>
        <v>15.24</v>
      </c>
      <c r="G1159" s="43">
        <f t="shared" si="74"/>
        <v>413.6854367999947</v>
      </c>
      <c r="H1159" s="43">
        <f t="shared" si="75"/>
        <v>104.83288431243959</v>
      </c>
      <c r="I1159" s="42"/>
    </row>
    <row r="1160" spans="1:9" ht="12.75" customHeight="1">
      <c r="A1160" s="43">
        <v>300</v>
      </c>
      <c r="B1160" s="43">
        <v>6</v>
      </c>
      <c r="C1160" s="43">
        <v>70</v>
      </c>
      <c r="D1160" s="43">
        <v>395.4</v>
      </c>
      <c r="E1160" s="43">
        <f t="shared" si="72"/>
        <v>81.434141102361153</v>
      </c>
      <c r="F1160" s="43">
        <f t="shared" si="73"/>
        <v>15.24</v>
      </c>
      <c r="G1160" s="43">
        <f t="shared" si="74"/>
        <v>482.63300959999384</v>
      </c>
      <c r="H1160" s="43">
        <f t="shared" si="75"/>
        <v>107.330197972912</v>
      </c>
      <c r="I1160" s="42"/>
    </row>
    <row r="1161" spans="1:9" ht="12.75" customHeight="1">
      <c r="A1161" s="43">
        <v>300</v>
      </c>
      <c r="B1161" s="43">
        <v>6</v>
      </c>
      <c r="C1161" s="43">
        <v>80</v>
      </c>
      <c r="D1161" s="43">
        <v>404.59999999999997</v>
      </c>
      <c r="E1161" s="43">
        <f t="shared" si="72"/>
        <v>81.434141102361153</v>
      </c>
      <c r="F1161" s="43">
        <f t="shared" si="73"/>
        <v>15.24</v>
      </c>
      <c r="G1161" s="43">
        <f t="shared" si="74"/>
        <v>551.58058239999298</v>
      </c>
      <c r="H1161" s="43">
        <f t="shared" si="75"/>
        <v>109.8275116333844</v>
      </c>
      <c r="I1161" s="42"/>
    </row>
    <row r="1162" spans="1:9" ht="12.75" customHeight="1">
      <c r="A1162" s="43">
        <v>300</v>
      </c>
      <c r="B1162" s="43">
        <v>6</v>
      </c>
      <c r="C1162" s="43">
        <v>90</v>
      </c>
      <c r="D1162" s="43">
        <v>413.79999999999995</v>
      </c>
      <c r="E1162" s="43">
        <f t="shared" si="72"/>
        <v>81.434141102361153</v>
      </c>
      <c r="F1162" s="43">
        <f t="shared" si="73"/>
        <v>15.24</v>
      </c>
      <c r="G1162" s="43">
        <f t="shared" si="74"/>
        <v>620.52815519999206</v>
      </c>
      <c r="H1162" s="43">
        <f t="shared" si="75"/>
        <v>112.32482529385682</v>
      </c>
      <c r="I1162" s="42"/>
    </row>
    <row r="1163" spans="1:9" ht="12.75" customHeight="1">
      <c r="A1163" s="43">
        <v>300</v>
      </c>
      <c r="B1163" s="43">
        <v>6</v>
      </c>
      <c r="C1163" s="43">
        <v>100</v>
      </c>
      <c r="D1163" s="43">
        <v>423</v>
      </c>
      <c r="E1163" s="43">
        <f t="shared" si="72"/>
        <v>81.434141102361153</v>
      </c>
      <c r="F1163" s="43">
        <f t="shared" si="73"/>
        <v>15.24</v>
      </c>
      <c r="G1163" s="43">
        <f t="shared" si="74"/>
        <v>689.47572799999114</v>
      </c>
      <c r="H1163" s="43">
        <f t="shared" si="75"/>
        <v>114.82213895432922</v>
      </c>
      <c r="I1163" s="42"/>
    </row>
    <row r="1164" spans="1:9" ht="12.75" customHeight="1">
      <c r="A1164" s="43">
        <v>300</v>
      </c>
      <c r="B1164" s="43">
        <v>6</v>
      </c>
      <c r="C1164" s="43">
        <v>150</v>
      </c>
      <c r="D1164" s="43">
        <v>459.5</v>
      </c>
      <c r="E1164" s="43">
        <f t="shared" si="72"/>
        <v>81.434141102361153</v>
      </c>
      <c r="F1164" s="43">
        <f t="shared" si="73"/>
        <v>15.24</v>
      </c>
      <c r="G1164" s="43">
        <f t="shared" si="74"/>
        <v>1034.2135919999869</v>
      </c>
      <c r="H1164" s="43">
        <f t="shared" si="75"/>
        <v>124.72995945511651</v>
      </c>
      <c r="I1164" s="42"/>
    </row>
    <row r="1165" spans="1:9" ht="12.75" customHeight="1">
      <c r="A1165" s="43">
        <v>300</v>
      </c>
      <c r="B1165" s="43">
        <v>6</v>
      </c>
      <c r="C1165" s="43">
        <v>200</v>
      </c>
      <c r="D1165" s="43">
        <v>496</v>
      </c>
      <c r="E1165" s="43">
        <f t="shared" si="72"/>
        <v>81.434141102361153</v>
      </c>
      <c r="F1165" s="43">
        <f t="shared" si="73"/>
        <v>15.24</v>
      </c>
      <c r="G1165" s="43">
        <f t="shared" si="74"/>
        <v>1378.9514559999823</v>
      </c>
      <c r="H1165" s="43">
        <f t="shared" si="75"/>
        <v>134.63777995590377</v>
      </c>
      <c r="I1165" s="42"/>
    </row>
    <row r="1166" spans="1:9" ht="12.75" customHeight="1">
      <c r="A1166" s="43">
        <v>300</v>
      </c>
      <c r="B1166" s="43">
        <v>6</v>
      </c>
      <c r="C1166" s="43">
        <v>250</v>
      </c>
      <c r="D1166" s="43">
        <v>532.5</v>
      </c>
      <c r="E1166" s="43">
        <f t="shared" si="72"/>
        <v>81.434141102361153</v>
      </c>
      <c r="F1166" s="43">
        <f t="shared" si="73"/>
        <v>15.24</v>
      </c>
      <c r="G1166" s="43">
        <f t="shared" si="74"/>
        <v>1723.6893199999779</v>
      </c>
      <c r="H1166" s="43">
        <f t="shared" si="75"/>
        <v>144.54560045669106</v>
      </c>
      <c r="I1166" s="42"/>
    </row>
    <row r="1167" spans="1:9" ht="12.75" customHeight="1">
      <c r="A1167" s="43">
        <v>300</v>
      </c>
      <c r="B1167" s="43">
        <v>6</v>
      </c>
      <c r="C1167" s="43">
        <v>300</v>
      </c>
      <c r="D1167" s="43">
        <v>569</v>
      </c>
      <c r="E1167" s="43">
        <f t="shared" si="72"/>
        <v>81.434141102361153</v>
      </c>
      <c r="F1167" s="43">
        <f t="shared" si="73"/>
        <v>15.24</v>
      </c>
      <c r="G1167" s="43">
        <f t="shared" si="74"/>
        <v>2068.4271839999737</v>
      </c>
      <c r="H1167" s="43">
        <f t="shared" si="75"/>
        <v>154.45342095747833</v>
      </c>
      <c r="I1167" s="42"/>
    </row>
    <row r="1168" spans="1:9" ht="12.75" customHeight="1">
      <c r="A1168" s="43">
        <v>300</v>
      </c>
      <c r="B1168" s="43">
        <v>6</v>
      </c>
      <c r="C1168" s="43">
        <v>350</v>
      </c>
      <c r="D1168" s="43">
        <v>602.75</v>
      </c>
      <c r="E1168" s="43">
        <f t="shared" si="72"/>
        <v>81.434141102361153</v>
      </c>
      <c r="F1168" s="43">
        <f t="shared" si="73"/>
        <v>15.24</v>
      </c>
      <c r="G1168" s="43">
        <f t="shared" si="74"/>
        <v>2413.1650479999689</v>
      </c>
      <c r="H1168" s="43">
        <f t="shared" si="75"/>
        <v>163.61476183149398</v>
      </c>
      <c r="I1168" s="42"/>
    </row>
    <row r="1169" spans="1:9" ht="12.75" customHeight="1">
      <c r="A1169" s="43">
        <v>300</v>
      </c>
      <c r="B1169" s="43">
        <v>6</v>
      </c>
      <c r="C1169" s="43">
        <v>400</v>
      </c>
      <c r="D1169" s="43">
        <v>636.5</v>
      </c>
      <c r="E1169" s="43">
        <f t="shared" si="72"/>
        <v>81.434141102361153</v>
      </c>
      <c r="F1169" s="43">
        <f t="shared" si="73"/>
        <v>15.24</v>
      </c>
      <c r="G1169" s="43">
        <f t="shared" si="74"/>
        <v>2757.9029119999645</v>
      </c>
      <c r="H1169" s="43">
        <f t="shared" si="75"/>
        <v>172.7761027055096</v>
      </c>
      <c r="I1169" s="42"/>
    </row>
    <row r="1170" spans="1:9" ht="12.75" customHeight="1">
      <c r="A1170" s="43">
        <v>300</v>
      </c>
      <c r="B1170" s="43">
        <v>6</v>
      </c>
      <c r="C1170" s="43">
        <v>450</v>
      </c>
      <c r="D1170" s="43">
        <v>670.25</v>
      </c>
      <c r="E1170" s="43">
        <f t="shared" si="72"/>
        <v>81.434141102361153</v>
      </c>
      <c r="F1170" s="43">
        <f t="shared" si="73"/>
        <v>15.24</v>
      </c>
      <c r="G1170" s="43">
        <f t="shared" si="74"/>
        <v>3102.6407759999602</v>
      </c>
      <c r="H1170" s="43">
        <f t="shared" si="75"/>
        <v>181.93744357952522</v>
      </c>
      <c r="I1170" s="42"/>
    </row>
    <row r="1171" spans="1:9" ht="12.75" customHeight="1">
      <c r="A1171" s="43">
        <v>300</v>
      </c>
      <c r="B1171" s="43">
        <v>6</v>
      </c>
      <c r="C1171" s="43">
        <v>500</v>
      </c>
      <c r="D1171" s="43">
        <v>704</v>
      </c>
      <c r="E1171" s="43">
        <f t="shared" si="72"/>
        <v>81.434141102361153</v>
      </c>
      <c r="F1171" s="43">
        <f t="shared" si="73"/>
        <v>15.24</v>
      </c>
      <c r="G1171" s="43">
        <f t="shared" si="74"/>
        <v>3447.3786399999558</v>
      </c>
      <c r="H1171" s="43">
        <f t="shared" si="75"/>
        <v>191.09878445354084</v>
      </c>
      <c r="I1171" s="42"/>
    </row>
    <row r="1172" spans="1:9" ht="12.75" customHeight="1">
      <c r="A1172" s="43">
        <v>300</v>
      </c>
      <c r="B1172" s="43">
        <v>6</v>
      </c>
      <c r="C1172" s="43">
        <v>550</v>
      </c>
      <c r="D1172" s="43">
        <v>734.2</v>
      </c>
      <c r="E1172" s="43">
        <f t="shared" si="72"/>
        <v>81.434141102361153</v>
      </c>
      <c r="F1172" s="43">
        <f t="shared" si="73"/>
        <v>15.24</v>
      </c>
      <c r="G1172" s="43">
        <f t="shared" si="74"/>
        <v>3792.1165039999514</v>
      </c>
      <c r="H1172" s="43">
        <f t="shared" si="75"/>
        <v>199.29648799117854</v>
      </c>
      <c r="I1172" s="42"/>
    </row>
    <row r="1173" spans="1:9" ht="12.75" customHeight="1">
      <c r="A1173" s="43">
        <v>300</v>
      </c>
      <c r="B1173" s="43">
        <v>6</v>
      </c>
      <c r="C1173" s="43">
        <v>600</v>
      </c>
      <c r="D1173" s="43">
        <v>764.40000000000009</v>
      </c>
      <c r="E1173" s="43">
        <f t="shared" si="72"/>
        <v>81.434141102361153</v>
      </c>
      <c r="F1173" s="43">
        <f t="shared" si="73"/>
        <v>15.24</v>
      </c>
      <c r="G1173" s="43">
        <f t="shared" si="74"/>
        <v>4136.8543679999475</v>
      </c>
      <c r="H1173" s="43">
        <f t="shared" si="75"/>
        <v>207.49419152881626</v>
      </c>
      <c r="I1173" s="42"/>
    </row>
    <row r="1174" spans="1:9" ht="12.75" customHeight="1">
      <c r="A1174" s="43">
        <v>300</v>
      </c>
      <c r="B1174" s="43">
        <v>6</v>
      </c>
      <c r="C1174" s="43">
        <v>650</v>
      </c>
      <c r="D1174" s="43">
        <v>794.60000000000014</v>
      </c>
      <c r="E1174" s="43">
        <f t="shared" si="72"/>
        <v>81.434141102361153</v>
      </c>
      <c r="F1174" s="43">
        <f t="shared" si="73"/>
        <v>15.24</v>
      </c>
      <c r="G1174" s="43">
        <f t="shared" si="74"/>
        <v>4481.5922319999427</v>
      </c>
      <c r="H1174" s="43">
        <f t="shared" si="75"/>
        <v>215.69189506645395</v>
      </c>
      <c r="I1174" s="42"/>
    </row>
    <row r="1175" spans="1:9" ht="12.75" customHeight="1">
      <c r="A1175" s="43">
        <v>300</v>
      </c>
      <c r="B1175" s="43">
        <v>6</v>
      </c>
      <c r="C1175" s="43">
        <v>700</v>
      </c>
      <c r="D1175" s="43">
        <v>824.80000000000018</v>
      </c>
      <c r="E1175" s="43">
        <f t="shared" si="72"/>
        <v>81.434141102361153</v>
      </c>
      <c r="F1175" s="43">
        <f t="shared" si="73"/>
        <v>15.24</v>
      </c>
      <c r="G1175" s="43">
        <f t="shared" si="74"/>
        <v>4826.3300959999378</v>
      </c>
      <c r="H1175" s="43">
        <f t="shared" si="75"/>
        <v>223.88959860409167</v>
      </c>
      <c r="I1175" s="42"/>
    </row>
    <row r="1176" spans="1:9" ht="12.75" customHeight="1">
      <c r="A1176" s="43">
        <v>300</v>
      </c>
      <c r="B1176" s="43">
        <v>6</v>
      </c>
      <c r="C1176" s="43">
        <v>750</v>
      </c>
      <c r="D1176" s="43">
        <v>855.00000000000023</v>
      </c>
      <c r="E1176" s="43">
        <f t="shared" si="72"/>
        <v>81.434141102361153</v>
      </c>
      <c r="F1176" s="43">
        <f t="shared" si="73"/>
        <v>15.24</v>
      </c>
      <c r="G1176" s="43">
        <f t="shared" si="74"/>
        <v>5171.0679599999339</v>
      </c>
      <c r="H1176" s="43">
        <f t="shared" si="75"/>
        <v>232.08730214172937</v>
      </c>
      <c r="I1176" s="42"/>
    </row>
    <row r="1177" spans="1:9" ht="12.75" customHeight="1">
      <c r="A1177" s="43">
        <v>300</v>
      </c>
      <c r="B1177" s="43">
        <v>6</v>
      </c>
      <c r="C1177" s="43">
        <v>800</v>
      </c>
      <c r="D1177" s="43">
        <v>885.20000000000027</v>
      </c>
      <c r="E1177" s="43">
        <f t="shared" si="72"/>
        <v>81.434141102361153</v>
      </c>
      <c r="F1177" s="43">
        <f t="shared" si="73"/>
        <v>15.24</v>
      </c>
      <c r="G1177" s="43">
        <f t="shared" si="74"/>
        <v>5515.8058239999291</v>
      </c>
      <c r="H1177" s="43">
        <f t="shared" si="75"/>
        <v>240.28500567936706</v>
      </c>
      <c r="I1177" s="42"/>
    </row>
    <row r="1178" spans="1:9" ht="12.75" customHeight="1">
      <c r="A1178" s="43">
        <v>300</v>
      </c>
      <c r="B1178" s="43">
        <v>6</v>
      </c>
      <c r="C1178" s="43">
        <v>850</v>
      </c>
      <c r="D1178" s="43">
        <v>915.40000000000032</v>
      </c>
      <c r="E1178" s="43">
        <f t="shared" si="72"/>
        <v>81.434141102361153</v>
      </c>
      <c r="F1178" s="43">
        <f t="shared" si="73"/>
        <v>15.24</v>
      </c>
      <c r="G1178" s="43">
        <f t="shared" si="74"/>
        <v>5860.5436879999252</v>
      </c>
      <c r="H1178" s="43">
        <f t="shared" si="75"/>
        <v>248.48270921700478</v>
      </c>
      <c r="I1178" s="42"/>
    </row>
    <row r="1179" spans="1:9" ht="12.75" customHeight="1">
      <c r="A1179" s="43">
        <v>300</v>
      </c>
      <c r="B1179" s="43">
        <v>6</v>
      </c>
      <c r="C1179" s="43">
        <v>900</v>
      </c>
      <c r="D1179" s="43">
        <v>945.60000000000036</v>
      </c>
      <c r="E1179" s="43">
        <f t="shared" si="72"/>
        <v>81.434141102361153</v>
      </c>
      <c r="F1179" s="43">
        <f t="shared" si="73"/>
        <v>15.24</v>
      </c>
      <c r="G1179" s="43">
        <f t="shared" si="74"/>
        <v>6205.2815519999203</v>
      </c>
      <c r="H1179" s="43">
        <f t="shared" si="75"/>
        <v>256.68041275464248</v>
      </c>
      <c r="I1179" s="42"/>
    </row>
    <row r="1180" spans="1:9" ht="12.75" customHeight="1">
      <c r="A1180" s="43">
        <v>300</v>
      </c>
      <c r="B1180" s="43">
        <v>6</v>
      </c>
      <c r="C1180" s="43">
        <v>950</v>
      </c>
      <c r="D1180" s="43">
        <v>975.80000000000041</v>
      </c>
      <c r="E1180" s="43">
        <f t="shared" si="72"/>
        <v>81.434141102361153</v>
      </c>
      <c r="F1180" s="43">
        <f t="shared" si="73"/>
        <v>15.24</v>
      </c>
      <c r="G1180" s="43">
        <f t="shared" si="74"/>
        <v>6550.0194159999164</v>
      </c>
      <c r="H1180" s="43">
        <f t="shared" si="75"/>
        <v>264.87811629228014</v>
      </c>
      <c r="I1180" s="42"/>
    </row>
    <row r="1181" spans="1:9" ht="12.75" customHeight="1">
      <c r="A1181" s="43">
        <v>300</v>
      </c>
      <c r="B1181" s="43">
        <v>6</v>
      </c>
      <c r="C1181" s="43">
        <v>1000</v>
      </c>
      <c r="D1181" s="43">
        <v>1006</v>
      </c>
      <c r="E1181" s="43">
        <f t="shared" si="72"/>
        <v>81.434141102361153</v>
      </c>
      <c r="F1181" s="43">
        <f t="shared" si="73"/>
        <v>15.24</v>
      </c>
      <c r="G1181" s="43">
        <f t="shared" si="74"/>
        <v>6894.7572799999116</v>
      </c>
      <c r="H1181" s="43">
        <f t="shared" si="75"/>
        <v>273.07581982991775</v>
      </c>
      <c r="I1181" s="42"/>
    </row>
    <row r="1182" spans="1:9" ht="12.75" customHeight="1">
      <c r="A1182" s="43">
        <v>300</v>
      </c>
      <c r="B1182" s="43">
        <v>6</v>
      </c>
      <c r="C1182" s="43">
        <v>1100</v>
      </c>
      <c r="D1182" s="43">
        <v>1060.3</v>
      </c>
      <c r="E1182" s="43">
        <f t="shared" si="72"/>
        <v>81.434141102361153</v>
      </c>
      <c r="F1182" s="43">
        <f t="shared" si="73"/>
        <v>15.24</v>
      </c>
      <c r="G1182" s="43">
        <f t="shared" si="74"/>
        <v>7584.2330079999028</v>
      </c>
      <c r="H1182" s="43">
        <f t="shared" si="75"/>
        <v>287.81539936944512</v>
      </c>
      <c r="I1182" s="42"/>
    </row>
    <row r="1183" spans="1:9" ht="12.75" customHeight="1">
      <c r="A1183" s="43">
        <v>300</v>
      </c>
      <c r="B1183" s="43">
        <v>6</v>
      </c>
      <c r="C1183" s="43">
        <v>1200</v>
      </c>
      <c r="D1183" s="43">
        <v>1114.5999999999999</v>
      </c>
      <c r="E1183" s="43">
        <f t="shared" si="72"/>
        <v>81.434141102361153</v>
      </c>
      <c r="F1183" s="43">
        <f t="shared" si="73"/>
        <v>15.24</v>
      </c>
      <c r="G1183" s="43">
        <f t="shared" si="74"/>
        <v>8273.708735999895</v>
      </c>
      <c r="H1183" s="43">
        <f t="shared" si="75"/>
        <v>302.55497890897249</v>
      </c>
      <c r="I1183" s="42"/>
    </row>
    <row r="1184" spans="1:9" ht="12.75" customHeight="1">
      <c r="A1184" s="43">
        <v>300</v>
      </c>
      <c r="B1184" s="43">
        <v>6</v>
      </c>
      <c r="C1184" s="43">
        <v>1300</v>
      </c>
      <c r="D1184" s="43">
        <v>1168.8999999999999</v>
      </c>
      <c r="E1184" s="43">
        <f t="shared" si="72"/>
        <v>81.434141102361153</v>
      </c>
      <c r="F1184" s="43">
        <f t="shared" si="73"/>
        <v>15.24</v>
      </c>
      <c r="G1184" s="43">
        <f t="shared" si="74"/>
        <v>8963.1844639998853</v>
      </c>
      <c r="H1184" s="43">
        <f t="shared" si="75"/>
        <v>317.29455844849986</v>
      </c>
      <c r="I1184" s="42"/>
    </row>
    <row r="1185" spans="1:9" ht="12.75" customHeight="1">
      <c r="A1185" s="43">
        <v>300</v>
      </c>
      <c r="B1185" s="43">
        <v>6</v>
      </c>
      <c r="C1185" s="43">
        <v>1400</v>
      </c>
      <c r="D1185" s="43">
        <v>1223.1999999999998</v>
      </c>
      <c r="E1185" s="43">
        <f t="shared" si="72"/>
        <v>81.434141102361153</v>
      </c>
      <c r="F1185" s="43">
        <f t="shared" si="73"/>
        <v>15.24</v>
      </c>
      <c r="G1185" s="43">
        <f t="shared" si="74"/>
        <v>9652.6601919998757</v>
      </c>
      <c r="H1185" s="43">
        <f t="shared" si="75"/>
        <v>332.03413798802723</v>
      </c>
      <c r="I1185" s="42"/>
    </row>
    <row r="1186" spans="1:9" ht="12.75" customHeight="1">
      <c r="A1186" s="43">
        <v>300</v>
      </c>
      <c r="B1186" s="43">
        <v>6</v>
      </c>
      <c r="C1186" s="43">
        <v>1500</v>
      </c>
      <c r="D1186" s="43">
        <v>1277.4999999999998</v>
      </c>
      <c r="E1186" s="43">
        <f t="shared" si="72"/>
        <v>81.434141102361153</v>
      </c>
      <c r="F1186" s="43">
        <f t="shared" si="73"/>
        <v>15.24</v>
      </c>
      <c r="G1186" s="43">
        <f t="shared" si="74"/>
        <v>10342.135919999868</v>
      </c>
      <c r="H1186" s="43">
        <f t="shared" si="75"/>
        <v>346.77371752755448</v>
      </c>
      <c r="I1186" s="42"/>
    </row>
    <row r="1187" spans="1:9" ht="12.75" customHeight="1">
      <c r="A1187" s="43">
        <v>300</v>
      </c>
      <c r="B1187" s="43">
        <v>6</v>
      </c>
      <c r="C1187" s="43">
        <v>1600</v>
      </c>
      <c r="D1187" s="43">
        <v>1331.7999999999997</v>
      </c>
      <c r="E1187" s="43">
        <f t="shared" si="72"/>
        <v>81.434141102361153</v>
      </c>
      <c r="F1187" s="43">
        <f t="shared" si="73"/>
        <v>15.24</v>
      </c>
      <c r="G1187" s="43">
        <f t="shared" si="74"/>
        <v>11031.611647999858</v>
      </c>
      <c r="H1187" s="43">
        <f t="shared" si="75"/>
        <v>361.51329706708185</v>
      </c>
      <c r="I1187" s="42"/>
    </row>
    <row r="1188" spans="1:9" ht="12.75" customHeight="1">
      <c r="A1188" s="43">
        <v>300</v>
      </c>
      <c r="B1188" s="43">
        <v>6</v>
      </c>
      <c r="C1188" s="43">
        <v>1700</v>
      </c>
      <c r="D1188" s="43">
        <v>1386.0999999999997</v>
      </c>
      <c r="E1188" s="43">
        <f t="shared" si="72"/>
        <v>81.434141102361153</v>
      </c>
      <c r="F1188" s="43">
        <f t="shared" si="73"/>
        <v>15.24</v>
      </c>
      <c r="G1188" s="43">
        <f t="shared" si="74"/>
        <v>11721.08737599985</v>
      </c>
      <c r="H1188" s="43">
        <f t="shared" si="75"/>
        <v>376.25287660660922</v>
      </c>
      <c r="I1188" s="42"/>
    </row>
    <row r="1189" spans="1:9" ht="12.75" customHeight="1">
      <c r="A1189" s="43">
        <v>300</v>
      </c>
      <c r="B1189" s="43">
        <v>6</v>
      </c>
      <c r="C1189" s="43">
        <v>1800</v>
      </c>
      <c r="D1189" s="43">
        <v>1440.3999999999996</v>
      </c>
      <c r="E1189" s="43">
        <f t="shared" si="72"/>
        <v>81.434141102361153</v>
      </c>
      <c r="F1189" s="43">
        <f t="shared" si="73"/>
        <v>15.24</v>
      </c>
      <c r="G1189" s="43">
        <f t="shared" si="74"/>
        <v>12410.563103999841</v>
      </c>
      <c r="H1189" s="43">
        <f t="shared" si="75"/>
        <v>390.99245614613659</v>
      </c>
      <c r="I1189" s="42"/>
    </row>
    <row r="1190" spans="1:9" ht="12.75" customHeight="1">
      <c r="A1190" s="43">
        <v>300</v>
      </c>
      <c r="B1190" s="43">
        <v>6</v>
      </c>
      <c r="C1190" s="43">
        <v>1900</v>
      </c>
      <c r="D1190" s="43">
        <v>1494.6999999999996</v>
      </c>
      <c r="E1190" s="43">
        <f t="shared" si="72"/>
        <v>81.434141102361153</v>
      </c>
      <c r="F1190" s="43">
        <f t="shared" si="73"/>
        <v>15.24</v>
      </c>
      <c r="G1190" s="43">
        <f t="shared" si="74"/>
        <v>13100.038831999833</v>
      </c>
      <c r="H1190" s="43">
        <f t="shared" si="75"/>
        <v>405.73203568566396</v>
      </c>
      <c r="I1190" s="42"/>
    </row>
    <row r="1191" spans="1:9" ht="12.75" customHeight="1">
      <c r="A1191" s="43">
        <v>300</v>
      </c>
      <c r="B1191" s="43">
        <v>6</v>
      </c>
      <c r="C1191" s="43">
        <v>2000</v>
      </c>
      <c r="D1191" s="43">
        <v>1549</v>
      </c>
      <c r="E1191" s="43">
        <f t="shared" si="72"/>
        <v>81.434141102361153</v>
      </c>
      <c r="F1191" s="43">
        <f t="shared" si="73"/>
        <v>15.24</v>
      </c>
      <c r="G1191" s="43">
        <f t="shared" si="74"/>
        <v>13789.514559999823</v>
      </c>
      <c r="H1191" s="43">
        <f t="shared" si="75"/>
        <v>420.4716152251915</v>
      </c>
      <c r="I1191" s="42"/>
    </row>
    <row r="1192" spans="1:9">
      <c r="D1192" s="25"/>
      <c r="H1192" s="25"/>
    </row>
    <row r="1193" spans="1:9">
      <c r="A1193" s="24"/>
      <c r="C1193" s="24" t="s">
        <v>356</v>
      </c>
      <c r="E1193" s="24"/>
      <c r="G1193" s="24"/>
    </row>
    <row r="1194" spans="1:9">
      <c r="A1194" s="24"/>
      <c r="C1194" s="24" t="s">
        <v>354</v>
      </c>
      <c r="E1194" s="24"/>
      <c r="G1194" s="24"/>
    </row>
    <row r="1195" spans="1:9">
      <c r="C1195" s="24" t="s">
        <v>357</v>
      </c>
      <c r="G1195" s="24"/>
    </row>
    <row r="1196" spans="1:9">
      <c r="C1196" s="88" t="s">
        <v>522</v>
      </c>
    </row>
  </sheetData>
  <phoneticPr fontId="2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0991-1E95-4029-AB1E-586E77551744}">
  <sheetPr codeName="Sheet15">
    <tabColor rgb="FF92D050"/>
  </sheetPr>
  <dimension ref="A1:E1195"/>
  <sheetViews>
    <sheetView zoomScale="95" zoomScaleNormal="95" workbookViewId="0">
      <selection activeCell="D24" sqref="D24"/>
    </sheetView>
  </sheetViews>
  <sheetFormatPr defaultColWidth="9.140625" defaultRowHeight="12.75"/>
  <cols>
    <col min="1" max="4" width="30.7109375" style="2" customWidth="1"/>
    <col min="5" max="16384" width="9.140625" style="7"/>
  </cols>
  <sheetData>
    <row r="1" spans="1:5" ht="38.25" customHeight="1">
      <c r="A1" s="6" t="s">
        <v>518</v>
      </c>
      <c r="B1" s="10" t="s">
        <v>519</v>
      </c>
      <c r="C1" s="6" t="s">
        <v>520</v>
      </c>
      <c r="D1" s="16" t="s">
        <v>521</v>
      </c>
    </row>
    <row r="2" spans="1:5" ht="12.75" customHeight="1">
      <c r="A2" s="43">
        <v>5000</v>
      </c>
      <c r="B2" s="43">
        <v>10</v>
      </c>
      <c r="C2" s="43">
        <v>10</v>
      </c>
      <c r="D2" s="43">
        <v>14.52328384924455</v>
      </c>
      <c r="E2" s="42"/>
    </row>
    <row r="3" spans="1:5" ht="12.75" customHeight="1">
      <c r="A3" s="43">
        <v>5000</v>
      </c>
      <c r="B3" s="43">
        <v>10</v>
      </c>
      <c r="C3" s="43">
        <v>15</v>
      </c>
      <c r="D3" s="43">
        <v>14.583731944847754</v>
      </c>
      <c r="E3" s="42"/>
    </row>
    <row r="4" spans="1:5" ht="12.75" customHeight="1">
      <c r="A4" s="43">
        <v>5000</v>
      </c>
      <c r="B4" s="43">
        <v>10</v>
      </c>
      <c r="C4" s="43">
        <v>20</v>
      </c>
      <c r="D4" s="43">
        <v>14.663482651652588</v>
      </c>
      <c r="E4" s="42"/>
    </row>
    <row r="5" spans="1:5" ht="12.75" customHeight="1">
      <c r="A5" s="43">
        <v>5000</v>
      </c>
      <c r="B5" s="43">
        <v>15</v>
      </c>
      <c r="C5" s="43">
        <v>10</v>
      </c>
      <c r="D5" s="43">
        <v>14.196309368703105</v>
      </c>
      <c r="E5" s="42"/>
    </row>
    <row r="6" spans="1:5" ht="12.75" customHeight="1">
      <c r="A6" s="43">
        <v>5000</v>
      </c>
      <c r="B6" s="43">
        <v>15</v>
      </c>
      <c r="C6" s="43">
        <v>15</v>
      </c>
      <c r="D6" s="43">
        <v>14.249803445980435</v>
      </c>
      <c r="E6" s="42"/>
    </row>
    <row r="7" spans="1:5" ht="12.75" customHeight="1">
      <c r="A7" s="43">
        <v>5000</v>
      </c>
      <c r="B7" s="43">
        <v>15</v>
      </c>
      <c r="C7" s="43">
        <v>20</v>
      </c>
      <c r="D7" s="43">
        <v>14.318256807571</v>
      </c>
      <c r="E7" s="42"/>
    </row>
    <row r="8" spans="1:5" ht="12.75" customHeight="1">
      <c r="A8" s="43">
        <v>5000</v>
      </c>
      <c r="B8" s="43">
        <v>20</v>
      </c>
      <c r="C8" s="43">
        <v>10</v>
      </c>
      <c r="D8" s="43">
        <v>14.330858905109649</v>
      </c>
      <c r="E8" s="42"/>
    </row>
    <row r="9" spans="1:5" ht="12.75" customHeight="1">
      <c r="A9" s="43">
        <v>5000</v>
      </c>
      <c r="B9" s="43">
        <v>20</v>
      </c>
      <c r="C9" s="43">
        <v>15</v>
      </c>
      <c r="D9" s="43">
        <v>14.381219149464036</v>
      </c>
      <c r="E9" s="42"/>
    </row>
    <row r="10" spans="1:5" ht="12.75" customHeight="1">
      <c r="A10" s="43">
        <v>5000</v>
      </c>
      <c r="B10" s="43">
        <v>20</v>
      </c>
      <c r="C10" s="43">
        <v>20</v>
      </c>
      <c r="D10" s="43">
        <v>14.444933255629726</v>
      </c>
      <c r="E10" s="42"/>
    </row>
    <row r="11" spans="1:5" ht="12.75" customHeight="1">
      <c r="A11" s="43">
        <v>10000</v>
      </c>
      <c r="B11" s="43">
        <v>10</v>
      </c>
      <c r="C11" s="43">
        <v>10</v>
      </c>
      <c r="D11" s="43">
        <v>36.766618777390356</v>
      </c>
      <c r="E11" s="42"/>
    </row>
    <row r="12" spans="1:5" ht="12.75" customHeight="1">
      <c r="A12" s="43">
        <v>10000</v>
      </c>
      <c r="B12" s="43">
        <v>10</v>
      </c>
      <c r="C12" s="43">
        <v>15</v>
      </c>
      <c r="D12" s="43">
        <v>36.870540510913266</v>
      </c>
      <c r="E12" s="42"/>
    </row>
    <row r="13" spans="1:5" ht="12.75" customHeight="1">
      <c r="A13" s="43">
        <v>10000</v>
      </c>
      <c r="B13" s="43">
        <v>10</v>
      </c>
      <c r="C13" s="43">
        <v>20</v>
      </c>
      <c r="D13" s="43">
        <v>37.000375284705228</v>
      </c>
      <c r="E13" s="42"/>
    </row>
    <row r="14" spans="1:5" ht="12.75" customHeight="1">
      <c r="A14" s="43">
        <v>10000</v>
      </c>
      <c r="B14" s="43">
        <v>15</v>
      </c>
      <c r="C14" s="43">
        <v>10</v>
      </c>
      <c r="D14" s="43">
        <v>36.212812861587736</v>
      </c>
      <c r="E14" s="42"/>
    </row>
    <row r="15" spans="1:5" ht="12.75" customHeight="1">
      <c r="A15" s="43">
        <v>10000</v>
      </c>
      <c r="B15" s="43">
        <v>15</v>
      </c>
      <c r="C15" s="43">
        <v>15</v>
      </c>
      <c r="D15" s="43">
        <v>36.304721059941649</v>
      </c>
      <c r="E15" s="42"/>
    </row>
    <row r="16" spans="1:5" ht="12.75" customHeight="1">
      <c r="A16" s="43">
        <v>10000</v>
      </c>
      <c r="B16" s="43">
        <v>15</v>
      </c>
      <c r="C16" s="43">
        <v>20</v>
      </c>
      <c r="D16" s="43">
        <v>36.425143579155908</v>
      </c>
      <c r="E16" s="42"/>
    </row>
    <row r="17" spans="1:5" ht="12.75" customHeight="1">
      <c r="A17" s="43">
        <v>10000</v>
      </c>
      <c r="B17" s="43">
        <v>20</v>
      </c>
      <c r="C17" s="43">
        <v>10</v>
      </c>
      <c r="D17" s="43">
        <v>36.795928072547802</v>
      </c>
      <c r="E17" s="42"/>
    </row>
    <row r="18" spans="1:5" ht="12.75" customHeight="1">
      <c r="A18" s="43">
        <v>10000</v>
      </c>
      <c r="B18" s="43">
        <v>20</v>
      </c>
      <c r="C18" s="43">
        <v>15</v>
      </c>
      <c r="D18" s="43">
        <v>36.887865059131023</v>
      </c>
      <c r="E18" s="42"/>
    </row>
    <row r="19" spans="1:5" ht="12.75" customHeight="1">
      <c r="A19" s="43">
        <v>10000</v>
      </c>
      <c r="B19" s="43">
        <v>20</v>
      </c>
      <c r="C19" s="43">
        <v>20</v>
      </c>
      <c r="D19" s="43">
        <v>37.003449867670398</v>
      </c>
      <c r="E19" s="42"/>
    </row>
    <row r="20" spans="1:5" ht="12.75" customHeight="1">
      <c r="A20" s="43">
        <v>15000</v>
      </c>
      <c r="B20" s="43">
        <v>10</v>
      </c>
      <c r="C20" s="43">
        <v>10</v>
      </c>
      <c r="D20" s="43">
        <v>63.133153503092181</v>
      </c>
      <c r="E20" s="42"/>
    </row>
    <row r="21" spans="1:5" ht="12.75" customHeight="1">
      <c r="A21" s="43">
        <v>15000</v>
      </c>
      <c r="B21" s="43">
        <v>10</v>
      </c>
      <c r="C21" s="43">
        <v>15</v>
      </c>
      <c r="D21" s="43">
        <v>63.159270489361177</v>
      </c>
      <c r="E21" s="42"/>
    </row>
    <row r="22" spans="1:5" ht="12.75" customHeight="1">
      <c r="A22" s="43">
        <v>15000</v>
      </c>
      <c r="B22" s="43">
        <v>10</v>
      </c>
      <c r="C22" s="43">
        <v>20</v>
      </c>
      <c r="D22" s="43">
        <v>63.216430473931922</v>
      </c>
      <c r="E22" s="42"/>
    </row>
    <row r="23" spans="1:5" ht="12.75" customHeight="1">
      <c r="A23" s="43">
        <v>15000</v>
      </c>
      <c r="B23" s="43">
        <v>15</v>
      </c>
      <c r="C23" s="43">
        <v>10</v>
      </c>
      <c r="D23" s="43">
        <v>62.522521484652486</v>
      </c>
      <c r="E23" s="42"/>
    </row>
    <row r="24" spans="1:5" ht="12.75" customHeight="1">
      <c r="A24" s="43">
        <v>15000</v>
      </c>
      <c r="B24" s="43">
        <v>15</v>
      </c>
      <c r="C24" s="43">
        <v>15</v>
      </c>
      <c r="D24" s="43">
        <v>62.559382671345737</v>
      </c>
      <c r="E24" s="42"/>
    </row>
    <row r="25" spans="1:5" ht="12.75" customHeight="1">
      <c r="A25" s="43">
        <v>15000</v>
      </c>
      <c r="B25" s="43">
        <v>15</v>
      </c>
      <c r="C25" s="43">
        <v>20</v>
      </c>
      <c r="D25" s="43">
        <v>62.602866248204151</v>
      </c>
      <c r="E25" s="42"/>
    </row>
    <row r="26" spans="1:5" ht="12.75" customHeight="1">
      <c r="A26" s="43">
        <v>15000</v>
      </c>
      <c r="B26" s="43">
        <v>20</v>
      </c>
      <c r="C26" s="43">
        <v>10</v>
      </c>
      <c r="D26" s="43">
        <v>63.831924153352261</v>
      </c>
      <c r="E26" s="42"/>
    </row>
    <row r="27" spans="1:5" ht="12.75" customHeight="1">
      <c r="A27" s="43">
        <v>15000</v>
      </c>
      <c r="B27" s="43">
        <v>20</v>
      </c>
      <c r="C27" s="43">
        <v>15</v>
      </c>
      <c r="D27" s="43">
        <v>63.873799082193209</v>
      </c>
      <c r="E27" s="42"/>
    </row>
    <row r="28" spans="1:5" ht="12.75" customHeight="1">
      <c r="A28" s="43">
        <v>15000</v>
      </c>
      <c r="B28" s="43">
        <v>20</v>
      </c>
      <c r="C28" s="43">
        <v>20</v>
      </c>
      <c r="D28" s="43">
        <v>63.935766362755388</v>
      </c>
      <c r="E28" s="42"/>
    </row>
    <row r="29" spans="1:5" ht="12.75" customHeight="1">
      <c r="A29" s="43">
        <v>20000</v>
      </c>
      <c r="B29" s="43">
        <v>10</v>
      </c>
      <c r="C29" s="43">
        <v>10</v>
      </c>
      <c r="D29" s="43">
        <v>92.331887188108468</v>
      </c>
      <c r="E29" s="42"/>
    </row>
    <row r="30" spans="1:5" ht="12.75" customHeight="1">
      <c r="A30" s="43">
        <v>20000</v>
      </c>
      <c r="B30" s="43">
        <v>10</v>
      </c>
      <c r="C30" s="43">
        <v>15</v>
      </c>
      <c r="D30" s="43">
        <v>92.102700729374817</v>
      </c>
      <c r="E30" s="42"/>
    </row>
    <row r="31" spans="1:5" ht="12.75" customHeight="1">
      <c r="A31" s="43">
        <v>20000</v>
      </c>
      <c r="B31" s="43">
        <v>10</v>
      </c>
      <c r="C31" s="43">
        <v>20</v>
      </c>
      <c r="D31" s="43">
        <v>91.909384280935342</v>
      </c>
      <c r="E31" s="42"/>
    </row>
    <row r="32" spans="1:5" ht="12.75" customHeight="1">
      <c r="A32" s="43">
        <v>20000</v>
      </c>
      <c r="B32" s="43">
        <v>15</v>
      </c>
      <c r="C32" s="43">
        <v>10</v>
      </c>
      <c r="D32" s="43">
        <v>91.860878115675021</v>
      </c>
      <c r="E32" s="42"/>
    </row>
    <row r="33" spans="1:5" ht="12.75" customHeight="1">
      <c r="A33" s="43">
        <v>20000</v>
      </c>
      <c r="B33" s="43">
        <v>15</v>
      </c>
      <c r="C33" s="43">
        <v>15</v>
      </c>
      <c r="D33" s="43">
        <v>91.664226451465893</v>
      </c>
      <c r="E33" s="42"/>
    </row>
    <row r="34" spans="1:5" ht="12.75" customHeight="1">
      <c r="A34" s="43">
        <v>20000</v>
      </c>
      <c r="B34" s="43">
        <v>15</v>
      </c>
      <c r="C34" s="43">
        <v>20</v>
      </c>
      <c r="D34" s="43">
        <v>91.478751721199473</v>
      </c>
      <c r="E34" s="42"/>
    </row>
    <row r="35" spans="1:5" ht="12.75" customHeight="1">
      <c r="A35" s="43">
        <v>20000</v>
      </c>
      <c r="B35" s="43">
        <v>20</v>
      </c>
      <c r="C35" s="43">
        <v>10</v>
      </c>
      <c r="D35" s="43">
        <v>94.141009661617176</v>
      </c>
      <c r="E35" s="42"/>
    </row>
    <row r="36" spans="1:5" ht="12.75" customHeight="1">
      <c r="A36" s="43">
        <v>20000</v>
      </c>
      <c r="B36" s="43">
        <v>20</v>
      </c>
      <c r="C36" s="43">
        <v>15</v>
      </c>
      <c r="D36" s="43">
        <v>93.957297898148042</v>
      </c>
      <c r="E36" s="42"/>
    </row>
    <row r="37" spans="1:5" ht="12.75" customHeight="1">
      <c r="A37" s="43">
        <v>20000</v>
      </c>
      <c r="B37" s="43">
        <v>20</v>
      </c>
      <c r="C37" s="43">
        <v>20</v>
      </c>
      <c r="D37" s="43">
        <v>93.788348828219611</v>
      </c>
      <c r="E37" s="42"/>
    </row>
    <row r="38" spans="1:5" ht="12.75" customHeight="1">
      <c r="A38" s="43"/>
      <c r="B38" s="43"/>
      <c r="C38" s="43"/>
      <c r="D38" s="43"/>
      <c r="E38" s="42"/>
    </row>
    <row r="39" spans="1:5" ht="12.75" customHeight="1">
      <c r="A39" s="43"/>
      <c r="B39" s="43"/>
      <c r="C39" s="43"/>
      <c r="D39" s="43"/>
      <c r="E39" s="42"/>
    </row>
    <row r="40" spans="1:5" ht="12.75" customHeight="1">
      <c r="A40" s="43"/>
      <c r="B40" s="43"/>
      <c r="C40" s="43"/>
      <c r="D40" s="43"/>
      <c r="E40" s="42"/>
    </row>
    <row r="41" spans="1:5" ht="12.75" customHeight="1">
      <c r="A41" s="43"/>
      <c r="B41" s="43"/>
      <c r="C41" s="43"/>
      <c r="D41" s="43"/>
      <c r="E41" s="42"/>
    </row>
    <row r="42" spans="1:5" ht="12.75" customHeight="1">
      <c r="A42" s="43"/>
      <c r="B42" s="43"/>
      <c r="C42" s="43"/>
      <c r="D42" s="43"/>
      <c r="E42" s="42"/>
    </row>
    <row r="43" spans="1:5" ht="12.75" customHeight="1">
      <c r="A43" s="43"/>
      <c r="B43" s="43"/>
      <c r="C43" s="43"/>
      <c r="D43" s="43"/>
      <c r="E43" s="42"/>
    </row>
    <row r="44" spans="1:5" ht="12.75" customHeight="1">
      <c r="A44" s="43"/>
      <c r="B44" s="43"/>
      <c r="C44" s="43"/>
      <c r="D44" s="43"/>
      <c r="E44" s="42"/>
    </row>
    <row r="45" spans="1:5" ht="12.75" customHeight="1">
      <c r="A45" s="43"/>
      <c r="B45" s="43"/>
      <c r="C45" s="43"/>
      <c r="D45" s="43"/>
      <c r="E45" s="42"/>
    </row>
    <row r="46" spans="1:5" ht="12.75" customHeight="1">
      <c r="A46" s="43"/>
      <c r="B46" s="43"/>
      <c r="C46" s="43"/>
      <c r="D46" s="43"/>
      <c r="E46" s="42"/>
    </row>
    <row r="47" spans="1:5" ht="12.75" customHeight="1">
      <c r="A47" s="43"/>
      <c r="B47" s="43"/>
      <c r="C47" s="43"/>
      <c r="D47" s="43"/>
      <c r="E47" s="42"/>
    </row>
    <row r="48" spans="1:5" ht="12.75" customHeight="1">
      <c r="A48" s="43"/>
      <c r="B48" s="43"/>
      <c r="C48" s="43"/>
      <c r="D48" s="43"/>
      <c r="E48" s="42"/>
    </row>
    <row r="49" spans="1:5" ht="12.75" customHeight="1">
      <c r="A49" s="43"/>
      <c r="B49" s="43"/>
      <c r="C49" s="43"/>
      <c r="D49" s="43"/>
      <c r="E49" s="42"/>
    </row>
    <row r="50" spans="1:5" ht="12.75" customHeight="1">
      <c r="A50" s="43"/>
      <c r="B50" s="43"/>
      <c r="C50" s="43"/>
      <c r="D50" s="43"/>
      <c r="E50" s="42"/>
    </row>
    <row r="51" spans="1:5" ht="12.75" customHeight="1">
      <c r="A51" s="43"/>
      <c r="B51" s="43"/>
      <c r="C51" s="43"/>
      <c r="D51" s="43"/>
      <c r="E51" s="42"/>
    </row>
    <row r="52" spans="1:5" ht="12.75" customHeight="1">
      <c r="A52" s="43"/>
      <c r="B52" s="43"/>
      <c r="C52" s="43"/>
      <c r="D52" s="43"/>
      <c r="E52" s="42"/>
    </row>
    <row r="53" spans="1:5" ht="12.75" customHeight="1">
      <c r="A53" s="43"/>
      <c r="B53" s="43"/>
      <c r="C53" s="43"/>
      <c r="D53" s="43"/>
      <c r="E53" s="42"/>
    </row>
    <row r="54" spans="1:5" ht="12.75" customHeight="1">
      <c r="A54" s="43"/>
      <c r="B54" s="43"/>
      <c r="C54" s="43"/>
      <c r="D54" s="43"/>
      <c r="E54" s="42"/>
    </row>
    <row r="55" spans="1:5" ht="12.75" customHeight="1">
      <c r="A55" s="43"/>
      <c r="B55" s="43"/>
      <c r="C55" s="43"/>
      <c r="D55" s="43"/>
      <c r="E55" s="42"/>
    </row>
    <row r="56" spans="1:5" ht="12.75" customHeight="1">
      <c r="A56" s="43"/>
      <c r="B56" s="43"/>
      <c r="C56" s="43"/>
      <c r="D56" s="43"/>
      <c r="E56" s="42"/>
    </row>
    <row r="57" spans="1:5" ht="12.75" customHeight="1">
      <c r="A57" s="43"/>
      <c r="B57" s="43"/>
      <c r="C57" s="43"/>
      <c r="D57" s="43"/>
      <c r="E57" s="42"/>
    </row>
    <row r="58" spans="1:5" ht="12.75" customHeight="1">
      <c r="A58" s="43"/>
      <c r="B58" s="43"/>
      <c r="C58" s="43"/>
      <c r="D58" s="43"/>
      <c r="E58" s="42"/>
    </row>
    <row r="59" spans="1:5" ht="12.75" customHeight="1">
      <c r="A59" s="43"/>
      <c r="B59" s="43"/>
      <c r="C59" s="43"/>
      <c r="D59" s="43"/>
      <c r="E59" s="42"/>
    </row>
    <row r="60" spans="1:5" ht="12.75" customHeight="1">
      <c r="A60" s="43"/>
      <c r="B60" s="43"/>
      <c r="C60" s="43"/>
      <c r="D60" s="43"/>
      <c r="E60" s="42"/>
    </row>
    <row r="61" spans="1:5" ht="12.75" customHeight="1">
      <c r="A61" s="43"/>
      <c r="B61" s="43"/>
      <c r="C61" s="43"/>
      <c r="D61" s="43"/>
      <c r="E61" s="42"/>
    </row>
    <row r="62" spans="1:5" ht="12.75" customHeight="1">
      <c r="A62" s="43"/>
      <c r="B62" s="43"/>
      <c r="C62" s="43"/>
      <c r="D62" s="43"/>
      <c r="E62" s="42"/>
    </row>
    <row r="63" spans="1:5" ht="12.75" customHeight="1">
      <c r="A63" s="43"/>
      <c r="B63" s="43"/>
      <c r="C63" s="43"/>
      <c r="D63" s="43"/>
      <c r="E63" s="42"/>
    </row>
    <row r="64" spans="1:5" ht="12.75" customHeight="1">
      <c r="A64" s="43"/>
      <c r="B64" s="43"/>
      <c r="C64" s="43"/>
      <c r="D64" s="43"/>
      <c r="E64" s="42"/>
    </row>
    <row r="65" spans="1:5" ht="12.75" customHeight="1">
      <c r="A65" s="43"/>
      <c r="B65" s="43"/>
      <c r="C65" s="43"/>
      <c r="D65" s="43"/>
      <c r="E65" s="42"/>
    </row>
    <row r="66" spans="1:5" ht="12.75" customHeight="1">
      <c r="A66" s="43"/>
      <c r="B66" s="43"/>
      <c r="C66" s="43"/>
      <c r="D66" s="43"/>
      <c r="E66" s="42"/>
    </row>
    <row r="67" spans="1:5" ht="12.75" customHeight="1">
      <c r="A67" s="43"/>
      <c r="B67" s="43"/>
      <c r="C67" s="43"/>
      <c r="D67" s="43"/>
      <c r="E67" s="42"/>
    </row>
    <row r="68" spans="1:5" ht="12.75" customHeight="1">
      <c r="A68" s="43"/>
      <c r="B68" s="43"/>
      <c r="C68" s="43"/>
      <c r="D68" s="43"/>
      <c r="E68" s="42"/>
    </row>
    <row r="69" spans="1:5" ht="12.75" customHeight="1">
      <c r="A69" s="43"/>
      <c r="B69" s="43"/>
      <c r="C69" s="43"/>
      <c r="D69" s="43"/>
      <c r="E69" s="42"/>
    </row>
    <row r="70" spans="1:5" ht="12.75" customHeight="1">
      <c r="A70" s="43"/>
      <c r="B70" s="43"/>
      <c r="C70" s="43"/>
      <c r="D70" s="43"/>
      <c r="E70" s="42"/>
    </row>
    <row r="71" spans="1:5" ht="12.75" customHeight="1">
      <c r="A71" s="43"/>
      <c r="B71" s="43"/>
      <c r="C71" s="43"/>
      <c r="D71" s="43"/>
      <c r="E71" s="42"/>
    </row>
    <row r="72" spans="1:5" ht="12.75" customHeight="1">
      <c r="A72" s="43"/>
      <c r="B72" s="43"/>
      <c r="C72" s="43"/>
      <c r="D72" s="43"/>
      <c r="E72" s="42"/>
    </row>
    <row r="73" spans="1:5" ht="12.75" customHeight="1">
      <c r="A73" s="43"/>
      <c r="B73" s="43"/>
      <c r="C73" s="43"/>
      <c r="D73" s="43"/>
      <c r="E73" s="42"/>
    </row>
    <row r="74" spans="1:5" ht="12.75" customHeight="1">
      <c r="A74" s="43"/>
      <c r="B74" s="43"/>
      <c r="C74" s="43"/>
      <c r="D74" s="43"/>
      <c r="E74" s="42"/>
    </row>
    <row r="75" spans="1:5" ht="12.75" customHeight="1">
      <c r="A75" s="43"/>
      <c r="B75" s="43"/>
      <c r="C75" s="43"/>
      <c r="D75" s="43"/>
      <c r="E75" s="42"/>
    </row>
    <row r="76" spans="1:5" ht="12.75" customHeight="1">
      <c r="A76" s="43"/>
      <c r="B76" s="43"/>
      <c r="C76" s="43"/>
      <c r="D76" s="43"/>
      <c r="E76" s="42"/>
    </row>
    <row r="77" spans="1:5" ht="12.75" customHeight="1">
      <c r="A77" s="43"/>
      <c r="B77" s="43"/>
      <c r="C77" s="43"/>
      <c r="D77" s="43"/>
      <c r="E77" s="42"/>
    </row>
    <row r="78" spans="1:5" ht="12.75" customHeight="1">
      <c r="A78" s="43"/>
      <c r="B78" s="43"/>
      <c r="C78" s="43"/>
      <c r="D78" s="43"/>
      <c r="E78" s="42"/>
    </row>
    <row r="79" spans="1:5" ht="12.75" customHeight="1">
      <c r="A79" s="43"/>
      <c r="B79" s="43"/>
      <c r="C79" s="43"/>
      <c r="D79" s="43"/>
      <c r="E79" s="42"/>
    </row>
    <row r="80" spans="1:5" ht="12.75" customHeight="1">
      <c r="A80" s="43"/>
      <c r="B80" s="43"/>
      <c r="C80" s="43"/>
      <c r="D80" s="43"/>
      <c r="E80" s="42"/>
    </row>
    <row r="81" spans="1:5" ht="12.75" customHeight="1">
      <c r="A81" s="43"/>
      <c r="B81" s="43"/>
      <c r="C81" s="43"/>
      <c r="D81" s="43"/>
      <c r="E81" s="42"/>
    </row>
    <row r="82" spans="1:5" ht="12.75" customHeight="1">
      <c r="A82" s="43"/>
      <c r="B82" s="43"/>
      <c r="C82" s="43"/>
      <c r="D82" s="43"/>
      <c r="E82" s="42"/>
    </row>
    <row r="83" spans="1:5" ht="12.75" customHeight="1">
      <c r="A83" s="43"/>
      <c r="B83" s="43"/>
      <c r="C83" s="43"/>
      <c r="D83" s="43"/>
      <c r="E83" s="42"/>
    </row>
    <row r="84" spans="1:5" ht="12.75" customHeight="1">
      <c r="A84" s="43"/>
      <c r="B84" s="43"/>
      <c r="C84" s="43"/>
      <c r="D84" s="43"/>
      <c r="E84" s="42"/>
    </row>
    <row r="85" spans="1:5" ht="12.75" customHeight="1">
      <c r="A85" s="43"/>
      <c r="B85" s="43"/>
      <c r="C85" s="43"/>
      <c r="D85" s="43"/>
      <c r="E85" s="42"/>
    </row>
    <row r="86" spans="1:5" ht="12.75" customHeight="1">
      <c r="A86" s="43"/>
      <c r="B86" s="43"/>
      <c r="C86" s="43"/>
      <c r="D86" s="43"/>
      <c r="E86" s="42"/>
    </row>
    <row r="87" spans="1:5" ht="12.75" customHeight="1">
      <c r="A87" s="43"/>
      <c r="B87" s="43"/>
      <c r="C87" s="43"/>
      <c r="D87" s="43"/>
      <c r="E87" s="42"/>
    </row>
    <row r="88" spans="1:5" ht="12.75" customHeight="1">
      <c r="A88" s="43"/>
      <c r="B88" s="43"/>
      <c r="C88" s="43"/>
      <c r="D88" s="43"/>
      <c r="E88" s="42"/>
    </row>
    <row r="89" spans="1:5" ht="12.75" customHeight="1">
      <c r="A89" s="43"/>
      <c r="B89" s="43"/>
      <c r="C89" s="43"/>
      <c r="D89" s="43"/>
      <c r="E89" s="42"/>
    </row>
    <row r="90" spans="1:5" ht="12.75" customHeight="1">
      <c r="A90" s="43"/>
      <c r="B90" s="43"/>
      <c r="C90" s="43"/>
      <c r="D90" s="43"/>
      <c r="E90" s="42"/>
    </row>
    <row r="91" spans="1:5" ht="12.75" customHeight="1">
      <c r="A91" s="43"/>
      <c r="B91" s="43"/>
      <c r="C91" s="43"/>
      <c r="D91" s="43"/>
      <c r="E91" s="42"/>
    </row>
    <row r="92" spans="1:5" ht="12.75" customHeight="1">
      <c r="A92" s="43"/>
      <c r="B92" s="43"/>
      <c r="C92" s="43"/>
      <c r="D92" s="43"/>
      <c r="E92" s="42"/>
    </row>
    <row r="93" spans="1:5" ht="12.75" customHeight="1">
      <c r="A93" s="43"/>
      <c r="B93" s="43"/>
      <c r="C93" s="43"/>
      <c r="D93" s="43"/>
      <c r="E93" s="42"/>
    </row>
    <row r="94" spans="1:5" ht="12.75" customHeight="1">
      <c r="A94" s="43"/>
      <c r="B94" s="43"/>
      <c r="C94" s="43"/>
      <c r="D94" s="43"/>
      <c r="E94" s="42"/>
    </row>
    <row r="95" spans="1:5" ht="12.75" customHeight="1">
      <c r="A95" s="43"/>
      <c r="B95" s="43"/>
      <c r="C95" s="43"/>
      <c r="D95" s="43"/>
      <c r="E95" s="42"/>
    </row>
    <row r="96" spans="1:5" ht="12.75" customHeight="1">
      <c r="A96" s="43"/>
      <c r="B96" s="43"/>
      <c r="C96" s="43"/>
      <c r="D96" s="43"/>
      <c r="E96" s="42"/>
    </row>
    <row r="97" spans="1:5" ht="12.75" customHeight="1">
      <c r="A97" s="43"/>
      <c r="B97" s="43"/>
      <c r="C97" s="43"/>
      <c r="D97" s="43"/>
      <c r="E97" s="42"/>
    </row>
    <row r="98" spans="1:5" ht="12.75" customHeight="1">
      <c r="A98" s="43"/>
      <c r="B98" s="43"/>
      <c r="C98" s="43"/>
      <c r="D98" s="43"/>
      <c r="E98" s="42"/>
    </row>
    <row r="99" spans="1:5" ht="12.75" customHeight="1">
      <c r="A99" s="43"/>
      <c r="B99" s="43"/>
      <c r="C99" s="43"/>
      <c r="D99" s="43"/>
      <c r="E99" s="42"/>
    </row>
    <row r="100" spans="1:5" ht="12.75" customHeight="1">
      <c r="A100" s="43"/>
      <c r="B100" s="43"/>
      <c r="C100" s="43"/>
      <c r="D100" s="43"/>
      <c r="E100" s="42"/>
    </row>
    <row r="101" spans="1:5" ht="12.75" customHeight="1">
      <c r="A101" s="43"/>
      <c r="B101" s="43"/>
      <c r="C101" s="43"/>
      <c r="D101" s="43"/>
      <c r="E101" s="42"/>
    </row>
    <row r="102" spans="1:5" ht="12.75" customHeight="1">
      <c r="A102" s="43"/>
      <c r="B102" s="43"/>
      <c r="C102" s="43"/>
      <c r="D102" s="43"/>
      <c r="E102" s="42"/>
    </row>
    <row r="103" spans="1:5" ht="12.75" customHeight="1">
      <c r="A103" s="43"/>
      <c r="B103" s="43"/>
      <c r="C103" s="43"/>
      <c r="D103" s="43"/>
      <c r="E103" s="42"/>
    </row>
    <row r="104" spans="1:5" ht="12.75" customHeight="1">
      <c r="A104" s="43"/>
      <c r="B104" s="43"/>
      <c r="C104" s="43"/>
      <c r="D104" s="43"/>
      <c r="E104" s="42"/>
    </row>
    <row r="105" spans="1:5" ht="12.75" customHeight="1">
      <c r="A105" s="43"/>
      <c r="B105" s="43"/>
      <c r="C105" s="43"/>
      <c r="D105" s="43"/>
      <c r="E105" s="42"/>
    </row>
    <row r="106" spans="1:5" ht="12.75" customHeight="1">
      <c r="A106" s="43"/>
      <c r="B106" s="43"/>
      <c r="C106" s="43"/>
      <c r="D106" s="43"/>
      <c r="E106" s="42"/>
    </row>
    <row r="107" spans="1:5" ht="12.75" customHeight="1">
      <c r="A107" s="43"/>
      <c r="B107" s="43"/>
      <c r="C107" s="43"/>
      <c r="D107" s="43"/>
      <c r="E107" s="42"/>
    </row>
    <row r="108" spans="1:5" ht="12.75" customHeight="1">
      <c r="A108" s="43"/>
      <c r="B108" s="43"/>
      <c r="C108" s="43"/>
      <c r="D108" s="43"/>
      <c r="E108" s="42"/>
    </row>
    <row r="109" spans="1:5" ht="12.75" customHeight="1">
      <c r="A109" s="43"/>
      <c r="B109" s="43"/>
      <c r="C109" s="43"/>
      <c r="D109" s="43"/>
      <c r="E109" s="42"/>
    </row>
    <row r="110" spans="1:5" ht="12.75" customHeight="1">
      <c r="A110" s="43"/>
      <c r="B110" s="43"/>
      <c r="C110" s="43"/>
      <c r="D110" s="43"/>
      <c r="E110" s="42"/>
    </row>
    <row r="111" spans="1:5" ht="12.75" customHeight="1">
      <c r="A111" s="43"/>
      <c r="B111" s="43"/>
      <c r="C111" s="43"/>
      <c r="D111" s="43"/>
      <c r="E111" s="42"/>
    </row>
    <row r="112" spans="1:5" ht="12.75" customHeight="1">
      <c r="A112" s="43"/>
      <c r="B112" s="43"/>
      <c r="C112" s="43"/>
      <c r="D112" s="43"/>
      <c r="E112" s="42"/>
    </row>
    <row r="113" spans="1:5" ht="12.75" customHeight="1">
      <c r="A113" s="43"/>
      <c r="B113" s="43"/>
      <c r="C113" s="43"/>
      <c r="D113" s="43"/>
      <c r="E113" s="42"/>
    </row>
    <row r="114" spans="1:5" ht="12.75" customHeight="1">
      <c r="A114" s="43"/>
      <c r="B114" s="43"/>
      <c r="C114" s="43"/>
      <c r="D114" s="43"/>
      <c r="E114" s="42"/>
    </row>
    <row r="115" spans="1:5" ht="12.75" customHeight="1">
      <c r="A115" s="43"/>
      <c r="B115" s="43"/>
      <c r="C115" s="43"/>
      <c r="D115" s="43"/>
      <c r="E115" s="42"/>
    </row>
    <row r="116" spans="1:5" ht="12.75" customHeight="1">
      <c r="A116" s="43"/>
      <c r="B116" s="43"/>
      <c r="C116" s="43"/>
      <c r="D116" s="43"/>
      <c r="E116" s="42"/>
    </row>
    <row r="117" spans="1:5" ht="12.75" customHeight="1">
      <c r="A117" s="43"/>
      <c r="B117" s="43"/>
      <c r="C117" s="43"/>
      <c r="D117" s="43"/>
      <c r="E117" s="42"/>
    </row>
    <row r="118" spans="1:5" ht="12.75" customHeight="1">
      <c r="A118" s="43"/>
      <c r="B118" s="43"/>
      <c r="C118" s="43"/>
      <c r="D118" s="43"/>
      <c r="E118" s="42"/>
    </row>
    <row r="119" spans="1:5" ht="12.75" customHeight="1">
      <c r="A119" s="43"/>
      <c r="B119" s="43"/>
      <c r="C119" s="43"/>
      <c r="D119" s="43"/>
      <c r="E119" s="42"/>
    </row>
    <row r="120" spans="1:5" ht="12.75" customHeight="1">
      <c r="A120" s="43"/>
      <c r="B120" s="43"/>
      <c r="C120" s="43"/>
      <c r="D120" s="43"/>
      <c r="E120" s="42"/>
    </row>
    <row r="121" spans="1:5" ht="12.75" customHeight="1">
      <c r="A121" s="43"/>
      <c r="B121" s="43"/>
      <c r="C121" s="43"/>
      <c r="D121" s="43"/>
      <c r="E121" s="42"/>
    </row>
    <row r="122" spans="1:5" ht="12.75" customHeight="1">
      <c r="A122" s="43"/>
      <c r="B122" s="43"/>
      <c r="C122" s="43"/>
      <c r="D122" s="43"/>
      <c r="E122" s="42"/>
    </row>
    <row r="123" spans="1:5" ht="12.75" customHeight="1">
      <c r="A123" s="43"/>
      <c r="B123" s="43"/>
      <c r="C123" s="43"/>
      <c r="D123" s="43"/>
      <c r="E123" s="42"/>
    </row>
    <row r="124" spans="1:5" ht="12.75" customHeight="1">
      <c r="A124" s="43"/>
      <c r="B124" s="43"/>
      <c r="C124" s="43"/>
      <c r="D124" s="43"/>
      <c r="E124" s="42"/>
    </row>
    <row r="125" spans="1:5" ht="12.75" customHeight="1">
      <c r="A125" s="43"/>
      <c r="B125" s="43"/>
      <c r="C125" s="43"/>
      <c r="D125" s="43"/>
      <c r="E125" s="42"/>
    </row>
    <row r="126" spans="1:5" ht="12.75" customHeight="1">
      <c r="A126" s="43"/>
      <c r="B126" s="43"/>
      <c r="C126" s="43"/>
      <c r="D126" s="43"/>
      <c r="E126" s="42"/>
    </row>
    <row r="127" spans="1:5" ht="12.75" customHeight="1">
      <c r="A127" s="43"/>
      <c r="B127" s="43"/>
      <c r="C127" s="43"/>
      <c r="D127" s="43"/>
      <c r="E127" s="42"/>
    </row>
    <row r="128" spans="1:5" ht="12.75" customHeight="1">
      <c r="A128" s="43"/>
      <c r="B128" s="43"/>
      <c r="C128" s="43"/>
      <c r="D128" s="43"/>
      <c r="E128" s="42"/>
    </row>
    <row r="129" spans="1:5" ht="12.75" customHeight="1">
      <c r="A129" s="43"/>
      <c r="B129" s="43"/>
      <c r="C129" s="43"/>
      <c r="D129" s="43"/>
      <c r="E129" s="42"/>
    </row>
    <row r="130" spans="1:5" ht="12.75" customHeight="1">
      <c r="A130" s="43"/>
      <c r="B130" s="43"/>
      <c r="C130" s="43"/>
      <c r="D130" s="43"/>
      <c r="E130" s="42"/>
    </row>
    <row r="131" spans="1:5" ht="12.75" customHeight="1">
      <c r="A131" s="43"/>
      <c r="B131" s="43"/>
      <c r="C131" s="43"/>
      <c r="D131" s="43"/>
      <c r="E131" s="42"/>
    </row>
    <row r="132" spans="1:5" ht="12.75" customHeight="1">
      <c r="A132" s="43"/>
      <c r="B132" s="43"/>
      <c r="C132" s="43"/>
      <c r="D132" s="43"/>
      <c r="E132" s="42"/>
    </row>
    <row r="133" spans="1:5" ht="12.75" customHeight="1">
      <c r="A133" s="43"/>
      <c r="B133" s="43"/>
      <c r="C133" s="43"/>
      <c r="D133" s="43"/>
      <c r="E133" s="42"/>
    </row>
    <row r="134" spans="1:5" ht="12.75" customHeight="1">
      <c r="A134" s="43"/>
      <c r="B134" s="43"/>
      <c r="C134" s="43"/>
      <c r="D134" s="43"/>
      <c r="E134" s="42"/>
    </row>
    <row r="135" spans="1:5" ht="12.75" customHeight="1">
      <c r="A135" s="43"/>
      <c r="B135" s="43"/>
      <c r="C135" s="43"/>
      <c r="D135" s="43"/>
      <c r="E135" s="42"/>
    </row>
    <row r="136" spans="1:5" ht="12.75" customHeight="1">
      <c r="A136" s="43"/>
      <c r="B136" s="43"/>
      <c r="C136" s="43"/>
      <c r="D136" s="43"/>
      <c r="E136" s="42"/>
    </row>
    <row r="137" spans="1:5" ht="12.75" customHeight="1">
      <c r="A137" s="43"/>
      <c r="B137" s="43"/>
      <c r="C137" s="43"/>
      <c r="D137" s="43"/>
      <c r="E137" s="42"/>
    </row>
    <row r="138" spans="1:5" ht="12.75" customHeight="1">
      <c r="A138" s="43"/>
      <c r="B138" s="43"/>
      <c r="C138" s="43"/>
      <c r="D138" s="43"/>
      <c r="E138" s="42"/>
    </row>
    <row r="139" spans="1:5" ht="12.75" customHeight="1">
      <c r="A139" s="43"/>
      <c r="B139" s="43"/>
      <c r="C139" s="43"/>
      <c r="D139" s="43"/>
      <c r="E139" s="42"/>
    </row>
    <row r="140" spans="1:5" ht="12.75" customHeight="1">
      <c r="A140" s="43"/>
      <c r="B140" s="43"/>
      <c r="C140" s="43"/>
      <c r="D140" s="43"/>
      <c r="E140" s="42"/>
    </row>
    <row r="141" spans="1:5" ht="12.75" customHeight="1">
      <c r="A141" s="43"/>
      <c r="B141" s="43"/>
      <c r="C141" s="43"/>
      <c r="D141" s="43"/>
      <c r="E141" s="42"/>
    </row>
    <row r="142" spans="1:5" ht="12.75" customHeight="1">
      <c r="A142" s="43"/>
      <c r="B142" s="43"/>
      <c r="C142" s="43"/>
      <c r="D142" s="43"/>
      <c r="E142" s="42"/>
    </row>
    <row r="143" spans="1:5" ht="12.75" customHeight="1">
      <c r="A143" s="43"/>
      <c r="B143" s="43"/>
      <c r="C143" s="43"/>
      <c r="D143" s="43"/>
      <c r="E143" s="42"/>
    </row>
    <row r="144" spans="1:5" ht="12.75" customHeight="1">
      <c r="A144" s="43"/>
      <c r="B144" s="43"/>
      <c r="C144" s="43"/>
      <c r="D144" s="43"/>
      <c r="E144" s="42"/>
    </row>
    <row r="145" spans="1:5" ht="12.75" customHeight="1">
      <c r="A145" s="43"/>
      <c r="B145" s="43"/>
      <c r="C145" s="43"/>
      <c r="D145" s="43"/>
      <c r="E145" s="42"/>
    </row>
    <row r="146" spans="1:5" ht="12.75" customHeight="1">
      <c r="A146" s="43"/>
      <c r="B146" s="43"/>
      <c r="C146" s="43"/>
      <c r="D146" s="43"/>
      <c r="E146" s="42"/>
    </row>
    <row r="147" spans="1:5" ht="12.75" customHeight="1">
      <c r="A147" s="43"/>
      <c r="B147" s="43"/>
      <c r="C147" s="43"/>
      <c r="D147" s="43"/>
      <c r="E147" s="42"/>
    </row>
    <row r="148" spans="1:5" ht="12.75" customHeight="1">
      <c r="A148" s="43"/>
      <c r="B148" s="43"/>
      <c r="C148" s="43"/>
      <c r="D148" s="43"/>
      <c r="E148" s="42"/>
    </row>
    <row r="149" spans="1:5" ht="12.75" customHeight="1">
      <c r="A149" s="43"/>
      <c r="B149" s="43"/>
      <c r="C149" s="43"/>
      <c r="D149" s="43"/>
      <c r="E149" s="42"/>
    </row>
    <row r="150" spans="1:5" ht="12.75" customHeight="1">
      <c r="A150" s="43"/>
      <c r="B150" s="43"/>
      <c r="C150" s="43"/>
      <c r="D150" s="43"/>
      <c r="E150" s="42"/>
    </row>
    <row r="151" spans="1:5" ht="12.75" customHeight="1">
      <c r="A151" s="43"/>
      <c r="B151" s="43"/>
      <c r="C151" s="43"/>
      <c r="D151" s="43"/>
      <c r="E151" s="42"/>
    </row>
    <row r="152" spans="1:5" ht="12.75" customHeight="1">
      <c r="A152" s="43"/>
      <c r="B152" s="43"/>
      <c r="C152" s="43"/>
      <c r="D152" s="43"/>
      <c r="E152" s="42"/>
    </row>
    <row r="153" spans="1:5" ht="12.75" customHeight="1">
      <c r="A153" s="43"/>
      <c r="B153" s="43"/>
      <c r="C153" s="43"/>
      <c r="D153" s="43"/>
      <c r="E153" s="42"/>
    </row>
    <row r="154" spans="1:5" ht="12.75" customHeight="1">
      <c r="A154" s="43"/>
      <c r="B154" s="43"/>
      <c r="C154" s="43"/>
      <c r="D154" s="43"/>
      <c r="E154" s="42"/>
    </row>
    <row r="155" spans="1:5" ht="12.75" customHeight="1">
      <c r="A155" s="43"/>
      <c r="B155" s="43"/>
      <c r="C155" s="43"/>
      <c r="D155" s="43"/>
      <c r="E155" s="42"/>
    </row>
    <row r="156" spans="1:5" ht="12.75" customHeight="1">
      <c r="A156" s="43"/>
      <c r="B156" s="43"/>
      <c r="C156" s="43"/>
      <c r="D156" s="43"/>
      <c r="E156" s="42"/>
    </row>
    <row r="157" spans="1:5" ht="12.75" customHeight="1">
      <c r="A157" s="43"/>
      <c r="B157" s="43"/>
      <c r="C157" s="43"/>
      <c r="D157" s="43"/>
      <c r="E157" s="42"/>
    </row>
    <row r="158" spans="1:5" ht="12.75" customHeight="1">
      <c r="A158" s="43"/>
      <c r="B158" s="43"/>
      <c r="C158" s="43"/>
      <c r="D158" s="43"/>
      <c r="E158" s="42"/>
    </row>
    <row r="159" spans="1:5" ht="12.75" customHeight="1">
      <c r="A159" s="43"/>
      <c r="B159" s="43"/>
      <c r="C159" s="43"/>
      <c r="D159" s="43"/>
      <c r="E159" s="42"/>
    </row>
    <row r="160" spans="1:5" ht="12.75" customHeight="1">
      <c r="A160" s="43"/>
      <c r="B160" s="43"/>
      <c r="C160" s="43"/>
      <c r="D160" s="43"/>
      <c r="E160" s="42"/>
    </row>
    <row r="161" spans="1:5" ht="12.75" customHeight="1">
      <c r="A161" s="43"/>
      <c r="B161" s="43"/>
      <c r="C161" s="43"/>
      <c r="D161" s="43"/>
      <c r="E161" s="42"/>
    </row>
    <row r="162" spans="1:5" ht="12.75" customHeight="1">
      <c r="A162" s="43"/>
      <c r="B162" s="43"/>
      <c r="C162" s="43"/>
      <c r="D162" s="43"/>
      <c r="E162" s="42"/>
    </row>
    <row r="163" spans="1:5" ht="12.75" customHeight="1">
      <c r="A163" s="43"/>
      <c r="B163" s="43"/>
      <c r="C163" s="43"/>
      <c r="D163" s="43"/>
      <c r="E163" s="42"/>
    </row>
    <row r="164" spans="1:5" ht="12.75" customHeight="1">
      <c r="A164" s="43"/>
      <c r="B164" s="43"/>
      <c r="C164" s="43"/>
      <c r="D164" s="43"/>
      <c r="E164" s="42"/>
    </row>
    <row r="165" spans="1:5" ht="12.75" customHeight="1">
      <c r="A165" s="43"/>
      <c r="B165" s="43"/>
      <c r="C165" s="43"/>
      <c r="D165" s="43"/>
      <c r="E165" s="42"/>
    </row>
    <row r="166" spans="1:5" ht="12.75" customHeight="1">
      <c r="A166" s="43"/>
      <c r="B166" s="43"/>
      <c r="C166" s="43"/>
      <c r="D166" s="43"/>
      <c r="E166" s="42"/>
    </row>
    <row r="167" spans="1:5" ht="12.75" customHeight="1">
      <c r="A167" s="43"/>
      <c r="B167" s="43"/>
      <c r="C167" s="43"/>
      <c r="D167" s="43"/>
      <c r="E167" s="42"/>
    </row>
    <row r="168" spans="1:5" ht="12.75" customHeight="1">
      <c r="A168" s="43"/>
      <c r="B168" s="43"/>
      <c r="C168" s="43"/>
      <c r="D168" s="43"/>
      <c r="E168" s="42"/>
    </row>
    <row r="169" spans="1:5" ht="12.75" customHeight="1">
      <c r="A169" s="43"/>
      <c r="B169" s="43"/>
      <c r="C169" s="43"/>
      <c r="D169" s="43"/>
      <c r="E169" s="42"/>
    </row>
    <row r="170" spans="1:5" ht="12.75" customHeight="1">
      <c r="A170" s="43"/>
      <c r="B170" s="43"/>
      <c r="C170" s="43"/>
      <c r="D170" s="43"/>
      <c r="E170" s="42"/>
    </row>
    <row r="171" spans="1:5" ht="12.75" customHeight="1">
      <c r="A171" s="43"/>
      <c r="B171" s="43"/>
      <c r="C171" s="43"/>
      <c r="D171" s="43"/>
      <c r="E171" s="42"/>
    </row>
    <row r="172" spans="1:5" ht="12.75" customHeight="1">
      <c r="A172" s="43"/>
      <c r="B172" s="43"/>
      <c r="C172" s="43"/>
      <c r="D172" s="43"/>
      <c r="E172" s="42"/>
    </row>
    <row r="173" spans="1:5" ht="12.75" customHeight="1">
      <c r="A173" s="43"/>
      <c r="B173" s="43"/>
      <c r="C173" s="43"/>
      <c r="D173" s="43"/>
      <c r="E173" s="42"/>
    </row>
    <row r="174" spans="1:5" ht="12.75" customHeight="1">
      <c r="A174" s="43"/>
      <c r="B174" s="43"/>
      <c r="C174" s="43"/>
      <c r="D174" s="43"/>
      <c r="E174" s="42"/>
    </row>
    <row r="175" spans="1:5" ht="12.75" customHeight="1">
      <c r="A175" s="43"/>
      <c r="B175" s="43"/>
      <c r="C175" s="43"/>
      <c r="D175" s="43"/>
      <c r="E175" s="42"/>
    </row>
    <row r="176" spans="1:5" ht="12.75" customHeight="1">
      <c r="A176" s="43"/>
      <c r="B176" s="43"/>
      <c r="C176" s="43"/>
      <c r="D176" s="43"/>
      <c r="E176" s="42"/>
    </row>
    <row r="177" spans="1:5" ht="12.75" customHeight="1">
      <c r="A177" s="43"/>
      <c r="B177" s="43"/>
      <c r="C177" s="43"/>
      <c r="D177" s="43"/>
      <c r="E177" s="42"/>
    </row>
    <row r="178" spans="1:5" ht="12.75" customHeight="1">
      <c r="A178" s="43"/>
      <c r="B178" s="43"/>
      <c r="C178" s="43"/>
      <c r="D178" s="43"/>
      <c r="E178" s="42"/>
    </row>
    <row r="179" spans="1:5" ht="12.75" customHeight="1">
      <c r="A179" s="43"/>
      <c r="B179" s="43"/>
      <c r="C179" s="43"/>
      <c r="D179" s="43"/>
      <c r="E179" s="42"/>
    </row>
    <row r="180" spans="1:5" ht="12.75" customHeight="1">
      <c r="A180" s="43"/>
      <c r="B180" s="43"/>
      <c r="C180" s="43"/>
      <c r="D180" s="43"/>
      <c r="E180" s="42"/>
    </row>
    <row r="181" spans="1:5" ht="12.75" customHeight="1">
      <c r="A181" s="43"/>
      <c r="B181" s="43"/>
      <c r="C181" s="43"/>
      <c r="D181" s="43"/>
      <c r="E181" s="42"/>
    </row>
    <row r="182" spans="1:5" ht="12.75" customHeight="1">
      <c r="A182" s="43"/>
      <c r="B182" s="43"/>
      <c r="C182" s="43"/>
      <c r="D182" s="43"/>
      <c r="E182" s="42"/>
    </row>
    <row r="183" spans="1:5" ht="12.75" customHeight="1">
      <c r="A183" s="43"/>
      <c r="B183" s="43"/>
      <c r="C183" s="43"/>
      <c r="D183" s="43"/>
      <c r="E183" s="42"/>
    </row>
    <row r="184" spans="1:5" ht="12.75" customHeight="1">
      <c r="A184" s="43"/>
      <c r="B184" s="43"/>
      <c r="C184" s="43"/>
      <c r="D184" s="43"/>
      <c r="E184" s="42"/>
    </row>
    <row r="185" spans="1:5" ht="12.75" customHeight="1">
      <c r="A185" s="43"/>
      <c r="B185" s="43"/>
      <c r="C185" s="43"/>
      <c r="D185" s="43"/>
      <c r="E185" s="42"/>
    </row>
    <row r="186" spans="1:5" ht="12.75" customHeight="1">
      <c r="A186" s="43"/>
      <c r="B186" s="43"/>
      <c r="C186" s="43"/>
      <c r="D186" s="43"/>
      <c r="E186" s="42"/>
    </row>
    <row r="187" spans="1:5" ht="12.75" customHeight="1">
      <c r="A187" s="43"/>
      <c r="B187" s="43"/>
      <c r="C187" s="43"/>
      <c r="D187" s="43"/>
      <c r="E187" s="42"/>
    </row>
    <row r="188" spans="1:5" ht="12.75" customHeight="1">
      <c r="A188" s="43"/>
      <c r="B188" s="43"/>
      <c r="C188" s="43"/>
      <c r="D188" s="43"/>
      <c r="E188" s="42"/>
    </row>
    <row r="189" spans="1:5" ht="12.75" customHeight="1">
      <c r="A189" s="43"/>
      <c r="B189" s="43"/>
      <c r="C189" s="43"/>
      <c r="D189" s="43"/>
      <c r="E189" s="42"/>
    </row>
    <row r="190" spans="1:5" ht="12.75" customHeight="1">
      <c r="A190" s="43"/>
      <c r="B190" s="43"/>
      <c r="C190" s="43"/>
      <c r="D190" s="43"/>
      <c r="E190" s="42"/>
    </row>
    <row r="191" spans="1:5" ht="12.75" customHeight="1">
      <c r="A191" s="43"/>
      <c r="B191" s="43"/>
      <c r="C191" s="43"/>
      <c r="D191" s="43"/>
      <c r="E191" s="42"/>
    </row>
    <row r="192" spans="1:5" ht="12.75" customHeight="1">
      <c r="A192" s="43"/>
      <c r="B192" s="43"/>
      <c r="C192" s="43"/>
      <c r="D192" s="43"/>
      <c r="E192" s="42"/>
    </row>
    <row r="193" spans="1:5" ht="12.75" customHeight="1">
      <c r="A193" s="43"/>
      <c r="B193" s="43"/>
      <c r="C193" s="43"/>
      <c r="D193" s="43"/>
      <c r="E193" s="42"/>
    </row>
    <row r="194" spans="1:5" ht="12.75" customHeight="1">
      <c r="A194" s="43"/>
      <c r="B194" s="43"/>
      <c r="C194" s="43"/>
      <c r="D194" s="43"/>
      <c r="E194" s="42"/>
    </row>
    <row r="195" spans="1:5" ht="12.75" customHeight="1">
      <c r="A195" s="43"/>
      <c r="B195" s="43"/>
      <c r="C195" s="43"/>
      <c r="D195" s="43"/>
      <c r="E195" s="42"/>
    </row>
    <row r="196" spans="1:5" ht="12.75" customHeight="1">
      <c r="A196" s="43"/>
      <c r="B196" s="43"/>
      <c r="C196" s="43"/>
      <c r="D196" s="43"/>
      <c r="E196" s="42"/>
    </row>
    <row r="197" spans="1:5" ht="12.75" customHeight="1">
      <c r="A197" s="43"/>
      <c r="B197" s="43"/>
      <c r="C197" s="43"/>
      <c r="D197" s="43"/>
      <c r="E197" s="42"/>
    </row>
    <row r="198" spans="1:5" ht="12.75" customHeight="1">
      <c r="A198" s="43"/>
      <c r="B198" s="43"/>
      <c r="C198" s="43"/>
      <c r="D198" s="43"/>
      <c r="E198" s="42"/>
    </row>
    <row r="199" spans="1:5" ht="12.75" customHeight="1">
      <c r="A199" s="43"/>
      <c r="B199" s="43"/>
      <c r="C199" s="43"/>
      <c r="D199" s="43"/>
      <c r="E199" s="42"/>
    </row>
    <row r="200" spans="1:5" ht="12.75" customHeight="1">
      <c r="A200" s="43"/>
      <c r="B200" s="43"/>
      <c r="C200" s="43"/>
      <c r="D200" s="43"/>
      <c r="E200" s="42"/>
    </row>
    <row r="201" spans="1:5" ht="12.75" customHeight="1">
      <c r="A201" s="43"/>
      <c r="B201" s="43"/>
      <c r="C201" s="43"/>
      <c r="D201" s="43"/>
      <c r="E201" s="42"/>
    </row>
    <row r="202" spans="1:5" ht="12.75" customHeight="1">
      <c r="A202" s="43"/>
      <c r="B202" s="43"/>
      <c r="C202" s="43"/>
      <c r="D202" s="43"/>
      <c r="E202" s="42"/>
    </row>
    <row r="203" spans="1:5" ht="12.75" customHeight="1">
      <c r="A203" s="43"/>
      <c r="B203" s="43"/>
      <c r="C203" s="43"/>
      <c r="D203" s="43"/>
      <c r="E203" s="42"/>
    </row>
    <row r="204" spans="1:5" ht="12.75" customHeight="1">
      <c r="A204" s="43"/>
      <c r="B204" s="43"/>
      <c r="C204" s="43"/>
      <c r="D204" s="43"/>
      <c r="E204" s="42"/>
    </row>
    <row r="205" spans="1:5" ht="12.75" customHeight="1">
      <c r="A205" s="43"/>
      <c r="B205" s="43"/>
      <c r="C205" s="43"/>
      <c r="D205" s="43"/>
      <c r="E205" s="42"/>
    </row>
    <row r="206" spans="1:5" ht="12.75" customHeight="1">
      <c r="A206" s="43"/>
      <c r="B206" s="43"/>
      <c r="C206" s="43"/>
      <c r="D206" s="43"/>
      <c r="E206" s="42"/>
    </row>
    <row r="207" spans="1:5" ht="12.75" customHeight="1">
      <c r="A207" s="43"/>
      <c r="B207" s="43"/>
      <c r="C207" s="43"/>
      <c r="D207" s="43"/>
      <c r="E207" s="42"/>
    </row>
    <row r="208" spans="1:5" ht="12.75" customHeight="1">
      <c r="A208" s="43"/>
      <c r="B208" s="43"/>
      <c r="C208" s="43"/>
      <c r="D208" s="43"/>
      <c r="E208" s="42"/>
    </row>
    <row r="209" spans="1:5" ht="12.75" customHeight="1">
      <c r="A209" s="43"/>
      <c r="B209" s="43"/>
      <c r="C209" s="43"/>
      <c r="D209" s="43"/>
      <c r="E209" s="42"/>
    </row>
    <row r="210" spans="1:5" ht="12.75" customHeight="1">
      <c r="A210" s="43"/>
      <c r="B210" s="43"/>
      <c r="C210" s="43"/>
      <c r="D210" s="43"/>
      <c r="E210" s="42"/>
    </row>
    <row r="211" spans="1:5" ht="12.75" customHeight="1">
      <c r="A211" s="43"/>
      <c r="B211" s="43"/>
      <c r="C211" s="43"/>
      <c r="D211" s="43"/>
      <c r="E211" s="42"/>
    </row>
    <row r="212" spans="1:5" ht="12.75" customHeight="1">
      <c r="A212" s="43"/>
      <c r="B212" s="43"/>
      <c r="C212" s="43"/>
      <c r="D212" s="43"/>
      <c r="E212" s="42"/>
    </row>
    <row r="213" spans="1:5" ht="12.75" customHeight="1">
      <c r="A213" s="43"/>
      <c r="B213" s="43"/>
      <c r="C213" s="43"/>
      <c r="D213" s="43"/>
      <c r="E213" s="42"/>
    </row>
    <row r="214" spans="1:5" ht="12.75" customHeight="1">
      <c r="A214" s="43"/>
      <c r="B214" s="43"/>
      <c r="C214" s="43"/>
      <c r="D214" s="43"/>
      <c r="E214" s="42"/>
    </row>
    <row r="215" spans="1:5" ht="12.75" customHeight="1">
      <c r="A215" s="43"/>
      <c r="B215" s="43"/>
      <c r="C215" s="43"/>
      <c r="D215" s="43"/>
      <c r="E215" s="42"/>
    </row>
    <row r="216" spans="1:5" ht="12.75" customHeight="1">
      <c r="A216" s="43"/>
      <c r="B216" s="43"/>
      <c r="C216" s="43"/>
      <c r="D216" s="43"/>
      <c r="E216" s="42"/>
    </row>
    <row r="217" spans="1:5" ht="12.75" customHeight="1">
      <c r="A217" s="43"/>
      <c r="B217" s="43"/>
      <c r="C217" s="43"/>
      <c r="D217" s="43"/>
      <c r="E217" s="42"/>
    </row>
    <row r="218" spans="1:5" ht="12.75" customHeight="1">
      <c r="A218" s="43"/>
      <c r="B218" s="43"/>
      <c r="C218" s="43"/>
      <c r="D218" s="43"/>
      <c r="E218" s="42"/>
    </row>
    <row r="219" spans="1:5" ht="12.75" customHeight="1">
      <c r="A219" s="43"/>
      <c r="B219" s="43"/>
      <c r="C219" s="43"/>
      <c r="D219" s="43"/>
      <c r="E219" s="42"/>
    </row>
    <row r="220" spans="1:5" ht="12.75" customHeight="1">
      <c r="A220" s="43"/>
      <c r="B220" s="43"/>
      <c r="C220" s="43"/>
      <c r="D220" s="43"/>
      <c r="E220" s="42"/>
    </row>
    <row r="221" spans="1:5" ht="12.75" customHeight="1">
      <c r="A221" s="43"/>
      <c r="B221" s="43"/>
      <c r="C221" s="43"/>
      <c r="D221" s="43"/>
      <c r="E221" s="42"/>
    </row>
    <row r="222" spans="1:5" ht="12.75" customHeight="1">
      <c r="A222" s="43"/>
      <c r="B222" s="43"/>
      <c r="C222" s="43"/>
      <c r="D222" s="43"/>
      <c r="E222" s="42"/>
    </row>
    <row r="223" spans="1:5" ht="12.75" customHeight="1">
      <c r="A223" s="43"/>
      <c r="B223" s="43"/>
      <c r="C223" s="43"/>
      <c r="D223" s="43"/>
      <c r="E223" s="42"/>
    </row>
    <row r="224" spans="1:5" ht="12.75" customHeight="1">
      <c r="A224" s="43"/>
      <c r="B224" s="43"/>
      <c r="C224" s="43"/>
      <c r="D224" s="43"/>
      <c r="E224" s="42"/>
    </row>
    <row r="225" spans="1:5" ht="12.75" customHeight="1">
      <c r="A225" s="43"/>
      <c r="B225" s="43"/>
      <c r="C225" s="43"/>
      <c r="D225" s="43"/>
      <c r="E225" s="42"/>
    </row>
    <row r="226" spans="1:5" ht="12.75" customHeight="1">
      <c r="A226" s="43"/>
      <c r="B226" s="43"/>
      <c r="C226" s="43"/>
      <c r="D226" s="43"/>
      <c r="E226" s="42"/>
    </row>
    <row r="227" spans="1:5" ht="12.75" customHeight="1">
      <c r="A227" s="43"/>
      <c r="B227" s="43"/>
      <c r="C227" s="43"/>
      <c r="D227" s="43"/>
      <c r="E227" s="42"/>
    </row>
    <row r="228" spans="1:5" ht="12.75" customHeight="1">
      <c r="A228" s="43"/>
      <c r="B228" s="43"/>
      <c r="C228" s="43"/>
      <c r="D228" s="43"/>
      <c r="E228" s="42"/>
    </row>
    <row r="229" spans="1:5" ht="12.75" customHeight="1">
      <c r="A229" s="43"/>
      <c r="B229" s="43"/>
      <c r="C229" s="43"/>
      <c r="D229" s="43"/>
      <c r="E229" s="42"/>
    </row>
    <row r="230" spans="1:5" ht="12.75" customHeight="1">
      <c r="A230" s="43"/>
      <c r="B230" s="43"/>
      <c r="C230" s="43"/>
      <c r="D230" s="43"/>
      <c r="E230" s="42"/>
    </row>
    <row r="231" spans="1:5" ht="12.75" customHeight="1">
      <c r="A231" s="43"/>
      <c r="B231" s="43"/>
      <c r="C231" s="43"/>
      <c r="D231" s="43"/>
      <c r="E231" s="42"/>
    </row>
    <row r="232" spans="1:5" ht="12.75" customHeight="1">
      <c r="A232" s="43"/>
      <c r="B232" s="43"/>
      <c r="C232" s="43"/>
      <c r="D232" s="43"/>
      <c r="E232" s="42"/>
    </row>
    <row r="233" spans="1:5" ht="12.75" customHeight="1">
      <c r="A233" s="43"/>
      <c r="B233" s="43"/>
      <c r="C233" s="43"/>
      <c r="D233" s="43"/>
      <c r="E233" s="42"/>
    </row>
    <row r="234" spans="1:5" ht="12.75" customHeight="1">
      <c r="A234" s="43"/>
      <c r="B234" s="43"/>
      <c r="C234" s="43"/>
      <c r="D234" s="43"/>
      <c r="E234" s="42"/>
    </row>
    <row r="235" spans="1:5" ht="12.75" customHeight="1">
      <c r="A235" s="43"/>
      <c r="B235" s="43"/>
      <c r="C235" s="43"/>
      <c r="D235" s="43"/>
      <c r="E235" s="42"/>
    </row>
    <row r="236" spans="1:5" ht="12.75" customHeight="1">
      <c r="A236" s="43"/>
      <c r="B236" s="43"/>
      <c r="C236" s="43"/>
      <c r="D236" s="43"/>
      <c r="E236" s="42"/>
    </row>
    <row r="237" spans="1:5" ht="12.75" customHeight="1">
      <c r="A237" s="43"/>
      <c r="B237" s="43"/>
      <c r="C237" s="43"/>
      <c r="D237" s="43"/>
      <c r="E237" s="42"/>
    </row>
    <row r="238" spans="1:5" ht="12.75" customHeight="1">
      <c r="A238" s="43"/>
      <c r="B238" s="43"/>
      <c r="C238" s="43"/>
      <c r="D238" s="43"/>
      <c r="E238" s="42"/>
    </row>
    <row r="239" spans="1:5" ht="12.75" customHeight="1">
      <c r="A239" s="43"/>
      <c r="B239" s="43"/>
      <c r="C239" s="43"/>
      <c r="D239" s="43"/>
      <c r="E239" s="42"/>
    </row>
    <row r="240" spans="1:5" ht="12.75" customHeight="1">
      <c r="A240" s="43"/>
      <c r="B240" s="43"/>
      <c r="C240" s="43"/>
      <c r="D240" s="43"/>
      <c r="E240" s="42"/>
    </row>
    <row r="241" spans="1:5" ht="12.75" customHeight="1">
      <c r="A241" s="43"/>
      <c r="B241" s="43"/>
      <c r="C241" s="43"/>
      <c r="D241" s="43"/>
      <c r="E241" s="42"/>
    </row>
    <row r="242" spans="1:5" ht="12.75" customHeight="1">
      <c r="A242" s="43"/>
      <c r="B242" s="43"/>
      <c r="C242" s="43"/>
      <c r="D242" s="43"/>
      <c r="E242" s="42"/>
    </row>
    <row r="243" spans="1:5" ht="12.75" customHeight="1">
      <c r="A243" s="43"/>
      <c r="B243" s="43"/>
      <c r="C243" s="43"/>
      <c r="D243" s="43"/>
      <c r="E243" s="42"/>
    </row>
    <row r="244" spans="1:5" ht="12.75" customHeight="1">
      <c r="A244" s="43"/>
      <c r="B244" s="43"/>
      <c r="C244" s="43"/>
      <c r="D244" s="43"/>
      <c r="E244" s="42"/>
    </row>
    <row r="245" spans="1:5" ht="12.75" customHeight="1">
      <c r="A245" s="43"/>
      <c r="B245" s="43"/>
      <c r="C245" s="43"/>
      <c r="D245" s="43"/>
      <c r="E245" s="42"/>
    </row>
    <row r="246" spans="1:5" ht="12.75" customHeight="1">
      <c r="A246" s="43"/>
      <c r="B246" s="43"/>
      <c r="C246" s="43"/>
      <c r="D246" s="43"/>
      <c r="E246" s="42"/>
    </row>
    <row r="247" spans="1:5" ht="12.75" customHeight="1">
      <c r="A247" s="43"/>
      <c r="B247" s="43"/>
      <c r="C247" s="43"/>
      <c r="D247" s="43"/>
      <c r="E247" s="42"/>
    </row>
    <row r="248" spans="1:5" ht="12.75" customHeight="1">
      <c r="A248" s="43"/>
      <c r="B248" s="43"/>
      <c r="C248" s="43"/>
      <c r="D248" s="43"/>
      <c r="E248" s="42"/>
    </row>
    <row r="249" spans="1:5" ht="12.75" customHeight="1">
      <c r="A249" s="43"/>
      <c r="B249" s="43"/>
      <c r="C249" s="43"/>
      <c r="D249" s="43"/>
      <c r="E249" s="42"/>
    </row>
    <row r="250" spans="1:5" ht="12.75" customHeight="1">
      <c r="A250" s="43"/>
      <c r="B250" s="43"/>
      <c r="C250" s="43"/>
      <c r="D250" s="43"/>
      <c r="E250" s="42"/>
    </row>
    <row r="251" spans="1:5" ht="12.75" customHeight="1">
      <c r="A251" s="43"/>
      <c r="B251" s="43"/>
      <c r="C251" s="43"/>
      <c r="D251" s="43"/>
      <c r="E251" s="42"/>
    </row>
    <row r="252" spans="1:5" ht="12.75" customHeight="1">
      <c r="A252" s="43"/>
      <c r="B252" s="43"/>
      <c r="C252" s="43"/>
      <c r="D252" s="43"/>
      <c r="E252" s="42"/>
    </row>
    <row r="253" spans="1:5" ht="12.75" customHeight="1">
      <c r="A253" s="43"/>
      <c r="B253" s="43"/>
      <c r="C253" s="43"/>
      <c r="D253" s="43"/>
      <c r="E253" s="42"/>
    </row>
    <row r="254" spans="1:5" ht="12.75" customHeight="1">
      <c r="A254" s="43"/>
      <c r="B254" s="43"/>
      <c r="C254" s="43"/>
      <c r="D254" s="43"/>
      <c r="E254" s="42"/>
    </row>
    <row r="255" spans="1:5" ht="12.75" customHeight="1">
      <c r="A255" s="43"/>
      <c r="B255" s="43"/>
      <c r="C255" s="43"/>
      <c r="D255" s="43"/>
      <c r="E255" s="42"/>
    </row>
    <row r="256" spans="1:5" ht="12.75" customHeight="1">
      <c r="A256" s="43"/>
      <c r="B256" s="43"/>
      <c r="C256" s="43"/>
      <c r="D256" s="43"/>
      <c r="E256" s="42"/>
    </row>
    <row r="257" spans="1:5" ht="12.75" customHeight="1">
      <c r="A257" s="43"/>
      <c r="B257" s="43"/>
      <c r="C257" s="43"/>
      <c r="D257" s="43"/>
      <c r="E257" s="42"/>
    </row>
    <row r="258" spans="1:5" ht="12.75" customHeight="1">
      <c r="A258" s="43"/>
      <c r="B258" s="43"/>
      <c r="C258" s="43"/>
      <c r="D258" s="43"/>
      <c r="E258" s="42"/>
    </row>
    <row r="259" spans="1:5" ht="12.75" customHeight="1">
      <c r="A259" s="43"/>
      <c r="B259" s="43"/>
      <c r="C259" s="43"/>
      <c r="D259" s="43"/>
      <c r="E259" s="42"/>
    </row>
    <row r="260" spans="1:5" ht="12.75" customHeight="1">
      <c r="A260" s="43"/>
      <c r="B260" s="43"/>
      <c r="C260" s="43"/>
      <c r="D260" s="43"/>
      <c r="E260" s="42"/>
    </row>
    <row r="261" spans="1:5" ht="12.75" customHeight="1">
      <c r="A261" s="43"/>
      <c r="B261" s="43"/>
      <c r="C261" s="43"/>
      <c r="D261" s="43"/>
      <c r="E261" s="42"/>
    </row>
    <row r="262" spans="1:5" ht="12.75" customHeight="1">
      <c r="A262" s="43"/>
      <c r="B262" s="43"/>
      <c r="C262" s="43"/>
      <c r="D262" s="43"/>
      <c r="E262" s="42"/>
    </row>
    <row r="263" spans="1:5" ht="12.75" customHeight="1">
      <c r="A263" s="43"/>
      <c r="B263" s="43"/>
      <c r="C263" s="43"/>
      <c r="D263" s="43"/>
      <c r="E263" s="42"/>
    </row>
    <row r="264" spans="1:5" ht="12.75" customHeight="1">
      <c r="A264" s="43"/>
      <c r="B264" s="43"/>
      <c r="C264" s="43"/>
      <c r="D264" s="43"/>
      <c r="E264" s="42"/>
    </row>
    <row r="265" spans="1:5" ht="12.75" customHeight="1">
      <c r="A265" s="43"/>
      <c r="B265" s="43"/>
      <c r="C265" s="43"/>
      <c r="D265" s="43"/>
      <c r="E265" s="42"/>
    </row>
    <row r="266" spans="1:5" ht="12.75" customHeight="1">
      <c r="A266" s="43"/>
      <c r="B266" s="43"/>
      <c r="C266" s="43"/>
      <c r="D266" s="43"/>
      <c r="E266" s="42"/>
    </row>
    <row r="267" spans="1:5" ht="12.75" customHeight="1">
      <c r="A267" s="43"/>
      <c r="B267" s="43"/>
      <c r="C267" s="43"/>
      <c r="D267" s="43"/>
      <c r="E267" s="42"/>
    </row>
    <row r="268" spans="1:5" ht="12.75" customHeight="1">
      <c r="A268" s="43"/>
      <c r="B268" s="43"/>
      <c r="C268" s="43"/>
      <c r="D268" s="43"/>
      <c r="E268" s="42"/>
    </row>
    <row r="269" spans="1:5" ht="12.75" customHeight="1">
      <c r="A269" s="43"/>
      <c r="B269" s="43"/>
      <c r="C269" s="43"/>
      <c r="D269" s="43"/>
      <c r="E269" s="42"/>
    </row>
    <row r="270" spans="1:5" ht="12.75" customHeight="1">
      <c r="A270" s="43"/>
      <c r="B270" s="43"/>
      <c r="C270" s="43"/>
      <c r="D270" s="43"/>
      <c r="E270" s="42"/>
    </row>
    <row r="271" spans="1:5" ht="12.75" customHeight="1">
      <c r="A271" s="43"/>
      <c r="B271" s="43"/>
      <c r="C271" s="43"/>
      <c r="D271" s="43"/>
      <c r="E271" s="42"/>
    </row>
    <row r="272" spans="1:5" ht="12.75" customHeight="1">
      <c r="A272" s="43"/>
      <c r="B272" s="43"/>
      <c r="C272" s="43"/>
      <c r="D272" s="43"/>
      <c r="E272" s="42"/>
    </row>
    <row r="273" spans="1:5" ht="12.75" customHeight="1">
      <c r="A273" s="43"/>
      <c r="B273" s="43"/>
      <c r="C273" s="43"/>
      <c r="D273" s="43"/>
      <c r="E273" s="42"/>
    </row>
    <row r="274" spans="1:5" ht="12.75" customHeight="1">
      <c r="A274" s="43"/>
      <c r="B274" s="43"/>
      <c r="C274" s="43"/>
      <c r="D274" s="43"/>
      <c r="E274" s="42"/>
    </row>
    <row r="275" spans="1:5" ht="12.75" customHeight="1">
      <c r="A275" s="43"/>
      <c r="B275" s="43"/>
      <c r="C275" s="43"/>
      <c r="D275" s="43"/>
      <c r="E275" s="42"/>
    </row>
    <row r="276" spans="1:5" ht="12.75" customHeight="1">
      <c r="A276" s="43"/>
      <c r="B276" s="43"/>
      <c r="C276" s="43"/>
      <c r="D276" s="43"/>
      <c r="E276" s="42"/>
    </row>
    <row r="277" spans="1:5" ht="12.75" customHeight="1">
      <c r="A277" s="43"/>
      <c r="B277" s="43"/>
      <c r="C277" s="43"/>
      <c r="D277" s="43"/>
      <c r="E277" s="42"/>
    </row>
    <row r="278" spans="1:5" ht="12.75" customHeight="1">
      <c r="A278" s="43"/>
      <c r="B278" s="43"/>
      <c r="C278" s="43"/>
      <c r="D278" s="43"/>
      <c r="E278" s="42"/>
    </row>
    <row r="279" spans="1:5" ht="12.75" customHeight="1">
      <c r="A279" s="43"/>
      <c r="B279" s="43"/>
      <c r="C279" s="43"/>
      <c r="D279" s="43"/>
      <c r="E279" s="42"/>
    </row>
    <row r="280" spans="1:5" ht="12.75" customHeight="1">
      <c r="A280" s="43"/>
      <c r="B280" s="43"/>
      <c r="C280" s="43"/>
      <c r="D280" s="43"/>
      <c r="E280" s="42"/>
    </row>
    <row r="281" spans="1:5" ht="12.75" customHeight="1">
      <c r="A281" s="43"/>
      <c r="B281" s="43"/>
      <c r="C281" s="43"/>
      <c r="D281" s="43"/>
      <c r="E281" s="42"/>
    </row>
    <row r="282" spans="1:5" ht="12.75" customHeight="1">
      <c r="A282" s="43"/>
      <c r="B282" s="43"/>
      <c r="C282" s="43"/>
      <c r="D282" s="43"/>
      <c r="E282" s="42"/>
    </row>
    <row r="283" spans="1:5" ht="12.75" customHeight="1">
      <c r="A283" s="43"/>
      <c r="B283" s="43"/>
      <c r="C283" s="43"/>
      <c r="D283" s="43"/>
      <c r="E283" s="42"/>
    </row>
    <row r="284" spans="1:5" ht="12.75" customHeight="1">
      <c r="A284" s="43"/>
      <c r="B284" s="43"/>
      <c r="C284" s="43"/>
      <c r="D284" s="43"/>
      <c r="E284" s="42"/>
    </row>
    <row r="285" spans="1:5" ht="12.75" customHeight="1">
      <c r="A285" s="43"/>
      <c r="B285" s="43"/>
      <c r="C285" s="43"/>
      <c r="D285" s="43"/>
      <c r="E285" s="42"/>
    </row>
    <row r="286" spans="1:5" ht="12.75" customHeight="1">
      <c r="A286" s="43"/>
      <c r="B286" s="43"/>
      <c r="C286" s="43"/>
      <c r="D286" s="43"/>
      <c r="E286" s="42"/>
    </row>
    <row r="287" spans="1:5" ht="12.75" customHeight="1">
      <c r="A287" s="43"/>
      <c r="B287" s="43"/>
      <c r="C287" s="43"/>
      <c r="D287" s="43"/>
      <c r="E287" s="42"/>
    </row>
    <row r="288" spans="1:5" ht="12.75" customHeight="1">
      <c r="A288" s="43"/>
      <c r="B288" s="43"/>
      <c r="C288" s="43"/>
      <c r="D288" s="43"/>
      <c r="E288" s="42"/>
    </row>
    <row r="289" spans="1:5" ht="12.75" customHeight="1">
      <c r="A289" s="43"/>
      <c r="B289" s="43"/>
      <c r="C289" s="43"/>
      <c r="D289" s="43"/>
      <c r="E289" s="42"/>
    </row>
    <row r="290" spans="1:5" ht="12.75" customHeight="1">
      <c r="A290" s="43"/>
      <c r="B290" s="43"/>
      <c r="C290" s="43"/>
      <c r="D290" s="43"/>
      <c r="E290" s="42"/>
    </row>
    <row r="291" spans="1:5" ht="12.75" customHeight="1">
      <c r="A291" s="43"/>
      <c r="B291" s="43"/>
      <c r="C291" s="43"/>
      <c r="D291" s="43"/>
      <c r="E291" s="42"/>
    </row>
    <row r="292" spans="1:5" ht="12.75" customHeight="1">
      <c r="A292" s="43"/>
      <c r="B292" s="43"/>
      <c r="C292" s="43"/>
      <c r="D292" s="43"/>
      <c r="E292" s="42"/>
    </row>
    <row r="293" spans="1:5" ht="12.75" customHeight="1">
      <c r="A293" s="43"/>
      <c r="B293" s="43"/>
      <c r="C293" s="43"/>
      <c r="D293" s="43"/>
      <c r="E293" s="42"/>
    </row>
    <row r="294" spans="1:5" ht="12.75" customHeight="1">
      <c r="A294" s="43"/>
      <c r="B294" s="43"/>
      <c r="C294" s="43"/>
      <c r="D294" s="43"/>
      <c r="E294" s="42"/>
    </row>
    <row r="295" spans="1:5" ht="12.75" customHeight="1">
      <c r="A295" s="43"/>
      <c r="B295" s="43"/>
      <c r="C295" s="43"/>
      <c r="D295" s="43"/>
      <c r="E295" s="42"/>
    </row>
    <row r="296" spans="1:5" ht="12.75" customHeight="1">
      <c r="A296" s="43"/>
      <c r="B296" s="43"/>
      <c r="C296" s="43"/>
      <c r="D296" s="43"/>
      <c r="E296" s="42"/>
    </row>
    <row r="297" spans="1:5" ht="12.75" customHeight="1">
      <c r="A297" s="43"/>
      <c r="B297" s="43"/>
      <c r="C297" s="43"/>
      <c r="D297" s="43"/>
      <c r="E297" s="42"/>
    </row>
    <row r="298" spans="1:5" ht="12.75" customHeight="1">
      <c r="A298" s="43"/>
      <c r="B298" s="43"/>
      <c r="C298" s="43"/>
      <c r="D298" s="43"/>
      <c r="E298" s="42"/>
    </row>
    <row r="299" spans="1:5" ht="12.75" customHeight="1">
      <c r="A299" s="43"/>
      <c r="B299" s="43"/>
      <c r="C299" s="43"/>
      <c r="D299" s="43"/>
      <c r="E299" s="42"/>
    </row>
    <row r="300" spans="1:5" ht="12.75" customHeight="1">
      <c r="A300" s="43"/>
      <c r="B300" s="43"/>
      <c r="C300" s="43"/>
      <c r="D300" s="43"/>
      <c r="E300" s="42"/>
    </row>
    <row r="301" spans="1:5" ht="12.75" customHeight="1">
      <c r="A301" s="43"/>
      <c r="B301" s="43"/>
      <c r="C301" s="43"/>
      <c r="D301" s="43"/>
      <c r="E301" s="42"/>
    </row>
    <row r="302" spans="1:5" ht="12.75" customHeight="1">
      <c r="A302" s="43"/>
      <c r="B302" s="43"/>
      <c r="C302" s="43"/>
      <c r="D302" s="43"/>
      <c r="E302" s="42"/>
    </row>
    <row r="303" spans="1:5" ht="12.75" customHeight="1">
      <c r="A303" s="43"/>
      <c r="B303" s="43"/>
      <c r="C303" s="43"/>
      <c r="D303" s="43"/>
      <c r="E303" s="42"/>
    </row>
    <row r="304" spans="1:5" ht="12.75" customHeight="1">
      <c r="A304" s="43"/>
      <c r="B304" s="43"/>
      <c r="C304" s="43"/>
      <c r="D304" s="43"/>
      <c r="E304" s="42"/>
    </row>
    <row r="305" spans="1:5" ht="12.75" customHeight="1">
      <c r="A305" s="43"/>
      <c r="B305" s="43"/>
      <c r="C305" s="43"/>
      <c r="D305" s="43"/>
      <c r="E305" s="42"/>
    </row>
    <row r="306" spans="1:5" ht="12.75" customHeight="1">
      <c r="A306" s="43"/>
      <c r="B306" s="43"/>
      <c r="C306" s="43"/>
      <c r="D306" s="43"/>
      <c r="E306" s="42"/>
    </row>
    <row r="307" spans="1:5" ht="12.75" customHeight="1">
      <c r="A307" s="43"/>
      <c r="B307" s="43"/>
      <c r="C307" s="43"/>
      <c r="D307" s="43"/>
      <c r="E307" s="42"/>
    </row>
    <row r="308" spans="1:5" ht="12.75" customHeight="1">
      <c r="A308" s="43"/>
      <c r="B308" s="43"/>
      <c r="C308" s="43"/>
      <c r="D308" s="43"/>
      <c r="E308" s="42"/>
    </row>
    <row r="309" spans="1:5" ht="12.75" customHeight="1">
      <c r="A309" s="43"/>
      <c r="B309" s="43"/>
      <c r="C309" s="43"/>
      <c r="D309" s="43"/>
      <c r="E309" s="42"/>
    </row>
    <row r="310" spans="1:5" ht="12.75" customHeight="1">
      <c r="A310" s="43"/>
      <c r="B310" s="43"/>
      <c r="C310" s="43"/>
      <c r="D310" s="43"/>
      <c r="E310" s="42"/>
    </row>
    <row r="311" spans="1:5" ht="12.75" customHeight="1">
      <c r="A311" s="43"/>
      <c r="B311" s="43"/>
      <c r="C311" s="43"/>
      <c r="D311" s="43"/>
      <c r="E311" s="42"/>
    </row>
    <row r="312" spans="1:5" ht="12.75" customHeight="1">
      <c r="A312" s="43"/>
      <c r="B312" s="43"/>
      <c r="C312" s="43"/>
      <c r="D312" s="43"/>
      <c r="E312" s="42"/>
    </row>
    <row r="313" spans="1:5" ht="12.75" customHeight="1">
      <c r="A313" s="43"/>
      <c r="B313" s="43"/>
      <c r="C313" s="43"/>
      <c r="D313" s="43"/>
      <c r="E313" s="42"/>
    </row>
    <row r="314" spans="1:5" ht="12.75" customHeight="1">
      <c r="A314" s="43"/>
      <c r="B314" s="43"/>
      <c r="C314" s="43"/>
      <c r="D314" s="43"/>
      <c r="E314" s="42"/>
    </row>
    <row r="315" spans="1:5" ht="12.75" customHeight="1">
      <c r="A315" s="43"/>
      <c r="B315" s="43"/>
      <c r="C315" s="43"/>
      <c r="D315" s="43"/>
      <c r="E315" s="42"/>
    </row>
    <row r="316" spans="1:5" ht="12.75" customHeight="1">
      <c r="A316" s="43"/>
      <c r="B316" s="43"/>
      <c r="C316" s="43"/>
      <c r="D316" s="43"/>
      <c r="E316" s="42"/>
    </row>
    <row r="317" spans="1:5" ht="12.75" customHeight="1">
      <c r="A317" s="43"/>
      <c r="B317" s="43"/>
      <c r="C317" s="43"/>
      <c r="D317" s="43"/>
      <c r="E317" s="42"/>
    </row>
    <row r="318" spans="1:5" ht="12.75" customHeight="1">
      <c r="A318" s="43"/>
      <c r="B318" s="43"/>
      <c r="C318" s="43"/>
      <c r="D318" s="43"/>
      <c r="E318" s="42"/>
    </row>
    <row r="319" spans="1:5" ht="12.75" customHeight="1">
      <c r="A319" s="43"/>
      <c r="B319" s="43"/>
      <c r="C319" s="43"/>
      <c r="D319" s="43"/>
      <c r="E319" s="42"/>
    </row>
    <row r="320" spans="1:5" ht="12.75" customHeight="1">
      <c r="A320" s="43"/>
      <c r="B320" s="43"/>
      <c r="C320" s="43"/>
      <c r="D320" s="43"/>
      <c r="E320" s="42"/>
    </row>
    <row r="321" spans="1:5" ht="12.75" customHeight="1">
      <c r="A321" s="43"/>
      <c r="B321" s="43"/>
      <c r="C321" s="43"/>
      <c r="D321" s="43"/>
      <c r="E321" s="42"/>
    </row>
    <row r="322" spans="1:5" ht="12.75" customHeight="1">
      <c r="A322" s="43"/>
      <c r="B322" s="43"/>
      <c r="C322" s="43"/>
      <c r="D322" s="43"/>
      <c r="E322" s="42"/>
    </row>
    <row r="323" spans="1:5" ht="12.75" customHeight="1">
      <c r="A323" s="43"/>
      <c r="B323" s="43"/>
      <c r="C323" s="43"/>
      <c r="D323" s="43"/>
      <c r="E323" s="42"/>
    </row>
    <row r="324" spans="1:5" ht="12.75" customHeight="1">
      <c r="A324" s="43"/>
      <c r="B324" s="43"/>
      <c r="C324" s="43"/>
      <c r="D324" s="43"/>
      <c r="E324" s="42"/>
    </row>
    <row r="325" spans="1:5" ht="12.75" customHeight="1">
      <c r="A325" s="43"/>
      <c r="B325" s="43"/>
      <c r="C325" s="43"/>
      <c r="D325" s="43"/>
      <c r="E325" s="42"/>
    </row>
    <row r="326" spans="1:5" ht="12.75" customHeight="1">
      <c r="A326" s="43"/>
      <c r="B326" s="43"/>
      <c r="C326" s="43"/>
      <c r="D326" s="43"/>
      <c r="E326" s="42"/>
    </row>
    <row r="327" spans="1:5" ht="12.75" customHeight="1">
      <c r="A327" s="43"/>
      <c r="B327" s="43"/>
      <c r="C327" s="43"/>
      <c r="D327" s="43"/>
      <c r="E327" s="42"/>
    </row>
    <row r="328" spans="1:5" ht="12.75" customHeight="1">
      <c r="A328" s="43"/>
      <c r="B328" s="43"/>
      <c r="C328" s="43"/>
      <c r="D328" s="43"/>
      <c r="E328" s="42"/>
    </row>
    <row r="329" spans="1:5" ht="12.75" customHeight="1">
      <c r="A329" s="43"/>
      <c r="B329" s="43"/>
      <c r="C329" s="43"/>
      <c r="D329" s="43"/>
      <c r="E329" s="42"/>
    </row>
    <row r="330" spans="1:5" ht="12.75" customHeight="1">
      <c r="A330" s="43"/>
      <c r="B330" s="43"/>
      <c r="C330" s="43"/>
      <c r="D330" s="43"/>
      <c r="E330" s="42"/>
    </row>
    <row r="331" spans="1:5" ht="12.75" customHeight="1">
      <c r="A331" s="43"/>
      <c r="B331" s="43"/>
      <c r="C331" s="43"/>
      <c r="D331" s="43"/>
      <c r="E331" s="42"/>
    </row>
    <row r="332" spans="1:5" ht="12.75" customHeight="1">
      <c r="A332" s="43"/>
      <c r="B332" s="43"/>
      <c r="C332" s="43"/>
      <c r="D332" s="43"/>
      <c r="E332" s="42"/>
    </row>
    <row r="333" spans="1:5" ht="12.75" customHeight="1">
      <c r="A333" s="43"/>
      <c r="B333" s="43"/>
      <c r="C333" s="43"/>
      <c r="D333" s="43"/>
      <c r="E333" s="42"/>
    </row>
    <row r="334" spans="1:5" ht="12.75" customHeight="1">
      <c r="A334" s="43"/>
      <c r="B334" s="43"/>
      <c r="C334" s="43"/>
      <c r="D334" s="43"/>
      <c r="E334" s="42"/>
    </row>
    <row r="335" spans="1:5" ht="12.75" customHeight="1">
      <c r="A335" s="43"/>
      <c r="B335" s="43"/>
      <c r="C335" s="43"/>
      <c r="D335" s="43"/>
      <c r="E335" s="42"/>
    </row>
    <row r="336" spans="1:5" ht="12.75" customHeight="1">
      <c r="A336" s="43"/>
      <c r="B336" s="43"/>
      <c r="C336" s="43"/>
      <c r="D336" s="43"/>
      <c r="E336" s="42"/>
    </row>
    <row r="337" spans="1:5" ht="12.75" customHeight="1">
      <c r="A337" s="43"/>
      <c r="B337" s="43"/>
      <c r="C337" s="43"/>
      <c r="D337" s="43"/>
      <c r="E337" s="42"/>
    </row>
    <row r="338" spans="1:5" ht="12.75" customHeight="1">
      <c r="A338" s="43"/>
      <c r="B338" s="43"/>
      <c r="C338" s="43"/>
      <c r="D338" s="43"/>
      <c r="E338" s="42"/>
    </row>
    <row r="339" spans="1:5" ht="12.75" customHeight="1">
      <c r="A339" s="43"/>
      <c r="B339" s="43"/>
      <c r="C339" s="43"/>
      <c r="D339" s="43"/>
      <c r="E339" s="42"/>
    </row>
    <row r="340" spans="1:5" ht="12.75" customHeight="1">
      <c r="A340" s="43"/>
      <c r="B340" s="43"/>
      <c r="C340" s="43"/>
      <c r="D340" s="43"/>
      <c r="E340" s="42"/>
    </row>
    <row r="341" spans="1:5" ht="12.75" customHeight="1">
      <c r="A341" s="43"/>
      <c r="B341" s="43"/>
      <c r="C341" s="43"/>
      <c r="D341" s="43"/>
      <c r="E341" s="42"/>
    </row>
    <row r="342" spans="1:5" ht="12.75" customHeight="1">
      <c r="A342" s="43"/>
      <c r="B342" s="43"/>
      <c r="C342" s="43"/>
      <c r="D342" s="43"/>
      <c r="E342" s="42"/>
    </row>
    <row r="343" spans="1:5" ht="12.75" customHeight="1">
      <c r="A343" s="43"/>
      <c r="B343" s="43"/>
      <c r="C343" s="43"/>
      <c r="D343" s="43"/>
      <c r="E343" s="42"/>
    </row>
    <row r="344" spans="1:5" ht="12.75" customHeight="1">
      <c r="A344" s="43"/>
      <c r="B344" s="43"/>
      <c r="C344" s="43"/>
      <c r="D344" s="43"/>
      <c r="E344" s="42"/>
    </row>
    <row r="345" spans="1:5" ht="12.75" customHeight="1">
      <c r="A345" s="43"/>
      <c r="B345" s="43"/>
      <c r="C345" s="43"/>
      <c r="D345" s="43"/>
      <c r="E345" s="42"/>
    </row>
    <row r="346" spans="1:5" ht="12.75" customHeight="1">
      <c r="A346" s="43"/>
      <c r="B346" s="43"/>
      <c r="C346" s="43"/>
      <c r="D346" s="43"/>
      <c r="E346" s="42"/>
    </row>
    <row r="347" spans="1:5" ht="12.75" customHeight="1">
      <c r="A347" s="43"/>
      <c r="B347" s="43"/>
      <c r="C347" s="43"/>
      <c r="D347" s="43"/>
      <c r="E347" s="42"/>
    </row>
    <row r="348" spans="1:5" ht="12.75" customHeight="1">
      <c r="A348" s="43"/>
      <c r="B348" s="43"/>
      <c r="C348" s="43"/>
      <c r="D348" s="43"/>
      <c r="E348" s="42"/>
    </row>
    <row r="349" spans="1:5" ht="12.75" customHeight="1">
      <c r="A349" s="43"/>
      <c r="B349" s="43"/>
      <c r="C349" s="43"/>
      <c r="D349" s="43"/>
      <c r="E349" s="42"/>
    </row>
    <row r="350" spans="1:5" ht="12.75" customHeight="1">
      <c r="A350" s="43"/>
      <c r="B350" s="43"/>
      <c r="C350" s="43"/>
      <c r="D350" s="43"/>
      <c r="E350" s="42"/>
    </row>
    <row r="351" spans="1:5" ht="12.75" customHeight="1">
      <c r="A351" s="43"/>
      <c r="B351" s="43"/>
      <c r="C351" s="43"/>
      <c r="D351" s="43"/>
      <c r="E351" s="42"/>
    </row>
    <row r="352" spans="1:5" ht="12.75" customHeight="1">
      <c r="A352" s="43"/>
      <c r="B352" s="43"/>
      <c r="C352" s="43"/>
      <c r="D352" s="43"/>
      <c r="E352" s="42"/>
    </row>
    <row r="353" spans="1:5" ht="12.75" customHeight="1">
      <c r="A353" s="43"/>
      <c r="B353" s="43"/>
      <c r="C353" s="43"/>
      <c r="D353" s="43"/>
      <c r="E353" s="42"/>
    </row>
    <row r="354" spans="1:5" ht="12.75" customHeight="1">
      <c r="A354" s="43"/>
      <c r="B354" s="43"/>
      <c r="C354" s="43"/>
      <c r="D354" s="43"/>
      <c r="E354" s="42"/>
    </row>
    <row r="355" spans="1:5" ht="12.75" customHeight="1">
      <c r="A355" s="43"/>
      <c r="B355" s="43"/>
      <c r="C355" s="43"/>
      <c r="D355" s="43"/>
      <c r="E355" s="42"/>
    </row>
    <row r="356" spans="1:5" ht="12.75" customHeight="1">
      <c r="A356" s="43"/>
      <c r="B356" s="43"/>
      <c r="C356" s="43"/>
      <c r="D356" s="43"/>
      <c r="E356" s="42"/>
    </row>
    <row r="357" spans="1:5" ht="12.75" customHeight="1">
      <c r="A357" s="43"/>
      <c r="B357" s="43"/>
      <c r="C357" s="43"/>
      <c r="D357" s="43"/>
      <c r="E357" s="42"/>
    </row>
    <row r="358" spans="1:5" ht="12.75" customHeight="1">
      <c r="A358" s="43"/>
      <c r="B358" s="43"/>
      <c r="C358" s="43"/>
      <c r="D358" s="43"/>
      <c r="E358" s="42"/>
    </row>
    <row r="359" spans="1:5" ht="12.75" customHeight="1">
      <c r="A359" s="43"/>
      <c r="B359" s="43"/>
      <c r="C359" s="43"/>
      <c r="D359" s="43"/>
      <c r="E359" s="42"/>
    </row>
    <row r="360" spans="1:5" ht="12.75" customHeight="1">
      <c r="A360" s="43"/>
      <c r="B360" s="43"/>
      <c r="C360" s="43"/>
      <c r="D360" s="43"/>
      <c r="E360" s="42"/>
    </row>
    <row r="361" spans="1:5" ht="12.75" customHeight="1">
      <c r="A361" s="43"/>
      <c r="B361" s="43"/>
      <c r="C361" s="43"/>
      <c r="D361" s="43"/>
      <c r="E361" s="42"/>
    </row>
    <row r="362" spans="1:5" ht="12.75" customHeight="1">
      <c r="A362" s="43"/>
      <c r="B362" s="43"/>
      <c r="C362" s="43"/>
      <c r="D362" s="43"/>
      <c r="E362" s="42"/>
    </row>
    <row r="363" spans="1:5" ht="12.75" customHeight="1">
      <c r="A363" s="43"/>
      <c r="B363" s="43"/>
      <c r="C363" s="43"/>
      <c r="D363" s="43"/>
      <c r="E363" s="42"/>
    </row>
    <row r="364" spans="1:5" ht="12.75" customHeight="1">
      <c r="A364" s="43"/>
      <c r="B364" s="43"/>
      <c r="C364" s="43"/>
      <c r="D364" s="43"/>
      <c r="E364" s="42"/>
    </row>
    <row r="365" spans="1:5" ht="12.75" customHeight="1">
      <c r="A365" s="43"/>
      <c r="B365" s="43"/>
      <c r="C365" s="43"/>
      <c r="D365" s="43"/>
      <c r="E365" s="42"/>
    </row>
    <row r="366" spans="1:5" ht="12.75" customHeight="1">
      <c r="A366" s="43"/>
      <c r="B366" s="43"/>
      <c r="C366" s="43"/>
      <c r="D366" s="43"/>
      <c r="E366" s="42"/>
    </row>
    <row r="367" spans="1:5" ht="12.75" customHeight="1">
      <c r="A367" s="43"/>
      <c r="B367" s="43"/>
      <c r="C367" s="43"/>
      <c r="D367" s="43"/>
      <c r="E367" s="42"/>
    </row>
    <row r="368" spans="1:5" ht="12.75" customHeight="1">
      <c r="A368" s="43"/>
      <c r="B368" s="43"/>
      <c r="C368" s="43"/>
      <c r="D368" s="43"/>
      <c r="E368" s="42"/>
    </row>
    <row r="369" spans="1:5" ht="12.75" customHeight="1">
      <c r="A369" s="43"/>
      <c r="B369" s="43"/>
      <c r="C369" s="43"/>
      <c r="D369" s="43"/>
      <c r="E369" s="42"/>
    </row>
    <row r="370" spans="1:5" ht="12.75" customHeight="1">
      <c r="A370" s="43"/>
      <c r="B370" s="43"/>
      <c r="C370" s="43"/>
      <c r="D370" s="43"/>
      <c r="E370" s="42"/>
    </row>
    <row r="371" spans="1:5" ht="12.75" customHeight="1">
      <c r="A371" s="43"/>
      <c r="B371" s="43"/>
      <c r="C371" s="43"/>
      <c r="D371" s="43"/>
      <c r="E371" s="42"/>
    </row>
    <row r="372" spans="1:5" ht="12.75" customHeight="1">
      <c r="A372" s="43"/>
      <c r="B372" s="43"/>
      <c r="C372" s="43"/>
      <c r="D372" s="43"/>
      <c r="E372" s="42"/>
    </row>
    <row r="373" spans="1:5" ht="12.75" customHeight="1">
      <c r="A373" s="43"/>
      <c r="B373" s="43"/>
      <c r="C373" s="43"/>
      <c r="D373" s="43"/>
      <c r="E373" s="42"/>
    </row>
    <row r="374" spans="1:5" ht="12.75" customHeight="1">
      <c r="A374" s="43"/>
      <c r="B374" s="43"/>
      <c r="C374" s="43"/>
      <c r="D374" s="43"/>
      <c r="E374" s="42"/>
    </row>
    <row r="375" spans="1:5" ht="12.75" customHeight="1">
      <c r="A375" s="43"/>
      <c r="B375" s="43"/>
      <c r="C375" s="43"/>
      <c r="D375" s="43"/>
      <c r="E375" s="42"/>
    </row>
    <row r="376" spans="1:5" ht="12.75" customHeight="1">
      <c r="A376" s="43"/>
      <c r="B376" s="43"/>
      <c r="C376" s="43"/>
      <c r="D376" s="43"/>
      <c r="E376" s="42"/>
    </row>
    <row r="377" spans="1:5" ht="12.75" customHeight="1">
      <c r="A377" s="43"/>
      <c r="B377" s="43"/>
      <c r="C377" s="43"/>
      <c r="D377" s="43"/>
      <c r="E377" s="42"/>
    </row>
    <row r="378" spans="1:5" ht="12.75" customHeight="1">
      <c r="A378" s="43"/>
      <c r="B378" s="43"/>
      <c r="C378" s="43"/>
      <c r="D378" s="43"/>
      <c r="E378" s="42"/>
    </row>
    <row r="379" spans="1:5" ht="12.75" customHeight="1">
      <c r="A379" s="43"/>
      <c r="B379" s="43"/>
      <c r="C379" s="43"/>
      <c r="D379" s="43"/>
      <c r="E379" s="42"/>
    </row>
    <row r="380" spans="1:5" ht="12.75" customHeight="1">
      <c r="A380" s="43"/>
      <c r="B380" s="43"/>
      <c r="C380" s="43"/>
      <c r="D380" s="43"/>
      <c r="E380" s="42"/>
    </row>
    <row r="381" spans="1:5" ht="12.75" customHeight="1">
      <c r="A381" s="43"/>
      <c r="B381" s="43"/>
      <c r="C381" s="43"/>
      <c r="D381" s="43"/>
      <c r="E381" s="42"/>
    </row>
    <row r="382" spans="1:5" ht="12.75" customHeight="1">
      <c r="A382" s="43"/>
      <c r="B382" s="43"/>
      <c r="C382" s="43"/>
      <c r="D382" s="43"/>
      <c r="E382" s="42"/>
    </row>
    <row r="383" spans="1:5" ht="12.75" customHeight="1">
      <c r="A383" s="43"/>
      <c r="B383" s="43"/>
      <c r="C383" s="43"/>
      <c r="D383" s="43"/>
      <c r="E383" s="42"/>
    </row>
    <row r="384" spans="1:5" ht="12.75" customHeight="1">
      <c r="A384" s="43"/>
      <c r="B384" s="43"/>
      <c r="C384" s="43"/>
      <c r="D384" s="43"/>
      <c r="E384" s="42"/>
    </row>
    <row r="385" spans="1:5" ht="12.75" customHeight="1">
      <c r="A385" s="43"/>
      <c r="B385" s="43"/>
      <c r="C385" s="43"/>
      <c r="D385" s="43"/>
      <c r="E385" s="42"/>
    </row>
    <row r="386" spans="1:5" ht="12.75" customHeight="1">
      <c r="A386" s="43"/>
      <c r="B386" s="43"/>
      <c r="C386" s="43"/>
      <c r="D386" s="43"/>
      <c r="E386" s="42"/>
    </row>
    <row r="387" spans="1:5" ht="12.75" customHeight="1">
      <c r="A387" s="43"/>
      <c r="B387" s="43"/>
      <c r="C387" s="43"/>
      <c r="D387" s="43"/>
      <c r="E387" s="42"/>
    </row>
    <row r="388" spans="1:5" ht="12.75" customHeight="1">
      <c r="A388" s="43"/>
      <c r="B388" s="43"/>
      <c r="C388" s="43"/>
      <c r="D388" s="43"/>
      <c r="E388" s="42"/>
    </row>
    <row r="389" spans="1:5" ht="12.75" customHeight="1">
      <c r="A389" s="43"/>
      <c r="B389" s="43"/>
      <c r="C389" s="43"/>
      <c r="D389" s="43"/>
      <c r="E389" s="42"/>
    </row>
    <row r="390" spans="1:5" ht="12.75" customHeight="1">
      <c r="A390" s="43"/>
      <c r="B390" s="43"/>
      <c r="C390" s="43"/>
      <c r="D390" s="43"/>
      <c r="E390" s="42"/>
    </row>
    <row r="391" spans="1:5" ht="12.75" customHeight="1">
      <c r="A391" s="43"/>
      <c r="B391" s="43"/>
      <c r="C391" s="43"/>
      <c r="D391" s="43"/>
      <c r="E391" s="42"/>
    </row>
    <row r="392" spans="1:5" ht="12.75" customHeight="1">
      <c r="A392" s="43"/>
      <c r="B392" s="43"/>
      <c r="C392" s="43"/>
      <c r="D392" s="43"/>
      <c r="E392" s="42"/>
    </row>
    <row r="393" spans="1:5" ht="12.75" customHeight="1">
      <c r="A393" s="43"/>
      <c r="B393" s="43"/>
      <c r="C393" s="43"/>
      <c r="D393" s="43"/>
      <c r="E393" s="42"/>
    </row>
    <row r="394" spans="1:5" ht="12.75" customHeight="1">
      <c r="A394" s="43"/>
      <c r="B394" s="43"/>
      <c r="C394" s="43"/>
      <c r="D394" s="43"/>
      <c r="E394" s="42"/>
    </row>
    <row r="395" spans="1:5" ht="12.75" customHeight="1">
      <c r="A395" s="43"/>
      <c r="B395" s="43"/>
      <c r="C395" s="43"/>
      <c r="D395" s="43"/>
      <c r="E395" s="42"/>
    </row>
    <row r="396" spans="1:5" ht="12.75" customHeight="1">
      <c r="A396" s="43"/>
      <c r="B396" s="43"/>
      <c r="C396" s="43"/>
      <c r="D396" s="43"/>
      <c r="E396" s="42"/>
    </row>
    <row r="397" spans="1:5" ht="12.75" customHeight="1">
      <c r="A397" s="43"/>
      <c r="B397" s="43"/>
      <c r="C397" s="43"/>
      <c r="D397" s="43"/>
      <c r="E397" s="42"/>
    </row>
    <row r="398" spans="1:5" ht="12.75" customHeight="1">
      <c r="A398" s="43"/>
      <c r="B398" s="43"/>
      <c r="C398" s="43"/>
      <c r="D398" s="43"/>
      <c r="E398" s="42"/>
    </row>
    <row r="399" spans="1:5" ht="12.75" customHeight="1">
      <c r="A399" s="43"/>
      <c r="B399" s="43"/>
      <c r="C399" s="43"/>
      <c r="D399" s="43"/>
      <c r="E399" s="42"/>
    </row>
    <row r="400" spans="1:5" ht="12.75" customHeight="1">
      <c r="A400" s="43"/>
      <c r="B400" s="43"/>
      <c r="C400" s="43"/>
      <c r="D400" s="43"/>
      <c r="E400" s="42"/>
    </row>
    <row r="401" spans="1:5" ht="12.75" customHeight="1">
      <c r="A401" s="43"/>
      <c r="B401" s="43"/>
      <c r="C401" s="43"/>
      <c r="D401" s="43"/>
      <c r="E401" s="42"/>
    </row>
    <row r="402" spans="1:5" ht="12.75" customHeight="1">
      <c r="A402" s="43"/>
      <c r="B402" s="43"/>
      <c r="C402" s="43"/>
      <c r="D402" s="43"/>
      <c r="E402" s="42"/>
    </row>
    <row r="403" spans="1:5" ht="12.75" customHeight="1">
      <c r="A403" s="43"/>
      <c r="B403" s="43"/>
      <c r="C403" s="43"/>
      <c r="D403" s="43"/>
      <c r="E403" s="42"/>
    </row>
    <row r="404" spans="1:5" ht="12.75" customHeight="1">
      <c r="A404" s="43"/>
      <c r="B404" s="43"/>
      <c r="C404" s="43"/>
      <c r="D404" s="43"/>
      <c r="E404" s="42"/>
    </row>
    <row r="405" spans="1:5" ht="12.75" customHeight="1">
      <c r="A405" s="43"/>
      <c r="B405" s="43"/>
      <c r="C405" s="43"/>
      <c r="D405" s="43"/>
      <c r="E405" s="42"/>
    </row>
    <row r="406" spans="1:5" ht="12.75" customHeight="1">
      <c r="A406" s="43"/>
      <c r="B406" s="43"/>
      <c r="C406" s="43"/>
      <c r="D406" s="43"/>
      <c r="E406" s="42"/>
    </row>
    <row r="407" spans="1:5" ht="12.75" customHeight="1">
      <c r="A407" s="43"/>
      <c r="B407" s="43"/>
      <c r="C407" s="43"/>
      <c r="D407" s="43"/>
      <c r="E407" s="42"/>
    </row>
    <row r="408" spans="1:5" ht="12.75" customHeight="1">
      <c r="A408" s="43"/>
      <c r="B408" s="43"/>
      <c r="C408" s="43"/>
      <c r="D408" s="43"/>
      <c r="E408" s="42"/>
    </row>
    <row r="409" spans="1:5" ht="12.75" customHeight="1">
      <c r="A409" s="43"/>
      <c r="B409" s="43"/>
      <c r="C409" s="43"/>
      <c r="D409" s="43"/>
      <c r="E409" s="42"/>
    </row>
    <row r="410" spans="1:5" ht="12.75" customHeight="1">
      <c r="A410" s="43"/>
      <c r="B410" s="43"/>
      <c r="C410" s="43"/>
      <c r="D410" s="43"/>
      <c r="E410" s="42"/>
    </row>
    <row r="411" spans="1:5" ht="12.75" customHeight="1">
      <c r="A411" s="43"/>
      <c r="B411" s="43"/>
      <c r="C411" s="43"/>
      <c r="D411" s="43"/>
      <c r="E411" s="42"/>
    </row>
    <row r="412" spans="1:5" ht="12.75" customHeight="1">
      <c r="A412" s="43"/>
      <c r="B412" s="43"/>
      <c r="C412" s="43"/>
      <c r="D412" s="43"/>
      <c r="E412" s="42"/>
    </row>
    <row r="413" spans="1:5" ht="12.75" customHeight="1">
      <c r="A413" s="43"/>
      <c r="B413" s="43"/>
      <c r="C413" s="43"/>
      <c r="D413" s="43"/>
      <c r="E413" s="42"/>
    </row>
    <row r="414" spans="1:5" ht="12.75" customHeight="1">
      <c r="A414" s="43"/>
      <c r="B414" s="43"/>
      <c r="C414" s="43"/>
      <c r="D414" s="43"/>
      <c r="E414" s="42"/>
    </row>
    <row r="415" spans="1:5" ht="12.75" customHeight="1">
      <c r="A415" s="43"/>
      <c r="B415" s="43"/>
      <c r="C415" s="43"/>
      <c r="D415" s="43"/>
      <c r="E415" s="42"/>
    </row>
    <row r="416" spans="1:5" ht="12.75" customHeight="1">
      <c r="A416" s="43"/>
      <c r="B416" s="43"/>
      <c r="C416" s="43"/>
      <c r="D416" s="43"/>
      <c r="E416" s="42"/>
    </row>
    <row r="417" spans="1:5" ht="12.75" customHeight="1">
      <c r="A417" s="43"/>
      <c r="B417" s="43"/>
      <c r="C417" s="43"/>
      <c r="D417" s="43"/>
      <c r="E417" s="42"/>
    </row>
    <row r="418" spans="1:5" ht="12.75" customHeight="1">
      <c r="A418" s="43"/>
      <c r="B418" s="43"/>
      <c r="C418" s="43"/>
      <c r="D418" s="43"/>
      <c r="E418" s="42"/>
    </row>
    <row r="419" spans="1:5" ht="12.75" customHeight="1">
      <c r="A419" s="43"/>
      <c r="B419" s="43"/>
      <c r="C419" s="43"/>
      <c r="D419" s="43"/>
      <c r="E419" s="42"/>
    </row>
    <row r="420" spans="1:5" ht="12.75" customHeight="1">
      <c r="A420" s="43"/>
      <c r="B420" s="43"/>
      <c r="C420" s="43"/>
      <c r="D420" s="43"/>
      <c r="E420" s="42"/>
    </row>
    <row r="421" spans="1:5" ht="12.75" customHeight="1">
      <c r="A421" s="43"/>
      <c r="B421" s="43"/>
      <c r="C421" s="43"/>
      <c r="D421" s="43"/>
      <c r="E421" s="42"/>
    </row>
    <row r="422" spans="1:5" ht="12.75" customHeight="1">
      <c r="A422" s="43"/>
      <c r="B422" s="43"/>
      <c r="C422" s="43"/>
      <c r="D422" s="43"/>
      <c r="E422" s="42"/>
    </row>
    <row r="423" spans="1:5" ht="12.75" customHeight="1">
      <c r="A423" s="43"/>
      <c r="B423" s="43"/>
      <c r="C423" s="43"/>
      <c r="D423" s="43"/>
      <c r="E423" s="42"/>
    </row>
    <row r="424" spans="1:5" ht="12.75" customHeight="1">
      <c r="A424" s="43"/>
      <c r="B424" s="43"/>
      <c r="C424" s="43"/>
      <c r="D424" s="43"/>
      <c r="E424" s="42"/>
    </row>
    <row r="425" spans="1:5" ht="12.75" customHeight="1">
      <c r="A425" s="43"/>
      <c r="B425" s="43"/>
      <c r="C425" s="43"/>
      <c r="D425" s="43"/>
      <c r="E425" s="42"/>
    </row>
    <row r="426" spans="1:5" ht="12.75" customHeight="1">
      <c r="A426" s="43"/>
      <c r="B426" s="43"/>
      <c r="C426" s="43"/>
      <c r="D426" s="43"/>
      <c r="E426" s="42"/>
    </row>
    <row r="427" spans="1:5" ht="12.75" customHeight="1">
      <c r="A427" s="43"/>
      <c r="B427" s="43"/>
      <c r="C427" s="43"/>
      <c r="D427" s="43"/>
      <c r="E427" s="42"/>
    </row>
    <row r="428" spans="1:5" ht="12.75" customHeight="1">
      <c r="A428" s="43"/>
      <c r="B428" s="43"/>
      <c r="C428" s="43"/>
      <c r="D428" s="43"/>
      <c r="E428" s="42"/>
    </row>
    <row r="429" spans="1:5" ht="12.75" customHeight="1">
      <c r="A429" s="43"/>
      <c r="B429" s="43"/>
      <c r="C429" s="43"/>
      <c r="D429" s="43"/>
      <c r="E429" s="42"/>
    </row>
    <row r="430" spans="1:5" ht="12.75" customHeight="1">
      <c r="A430" s="43"/>
      <c r="B430" s="43"/>
      <c r="C430" s="43"/>
      <c r="D430" s="43"/>
      <c r="E430" s="42"/>
    </row>
    <row r="431" spans="1:5" ht="12.75" customHeight="1">
      <c r="A431" s="43"/>
      <c r="B431" s="43"/>
      <c r="C431" s="43"/>
      <c r="D431" s="43"/>
      <c r="E431" s="42"/>
    </row>
    <row r="432" spans="1:5" ht="12.75" customHeight="1">
      <c r="A432" s="43"/>
      <c r="B432" s="43"/>
      <c r="C432" s="43"/>
      <c r="D432" s="43"/>
      <c r="E432" s="42"/>
    </row>
    <row r="433" spans="1:5" ht="12.75" customHeight="1">
      <c r="A433" s="43"/>
      <c r="B433" s="43"/>
      <c r="C433" s="43"/>
      <c r="D433" s="43"/>
      <c r="E433" s="42"/>
    </row>
    <row r="434" spans="1:5" ht="12.75" customHeight="1">
      <c r="A434" s="43"/>
      <c r="B434" s="43"/>
      <c r="C434" s="43"/>
      <c r="D434" s="43"/>
      <c r="E434" s="42"/>
    </row>
    <row r="435" spans="1:5" ht="12.75" customHeight="1">
      <c r="A435" s="43"/>
      <c r="B435" s="43"/>
      <c r="C435" s="43"/>
      <c r="D435" s="43"/>
      <c r="E435" s="42"/>
    </row>
    <row r="436" spans="1:5" ht="12.75" customHeight="1">
      <c r="A436" s="43"/>
      <c r="B436" s="43"/>
      <c r="C436" s="43"/>
      <c r="D436" s="43"/>
      <c r="E436" s="42"/>
    </row>
    <row r="437" spans="1:5" ht="12.75" customHeight="1">
      <c r="A437" s="43"/>
      <c r="B437" s="43"/>
      <c r="C437" s="43"/>
      <c r="D437" s="43"/>
      <c r="E437" s="42"/>
    </row>
    <row r="438" spans="1:5" ht="12.75" customHeight="1">
      <c r="A438" s="43"/>
      <c r="B438" s="43"/>
      <c r="C438" s="43"/>
      <c r="D438" s="43"/>
      <c r="E438" s="42"/>
    </row>
    <row r="439" spans="1:5" ht="12.75" customHeight="1">
      <c r="A439" s="43"/>
      <c r="B439" s="43"/>
      <c r="C439" s="43"/>
      <c r="D439" s="43"/>
      <c r="E439" s="42"/>
    </row>
    <row r="440" spans="1:5" ht="12.75" customHeight="1">
      <c r="A440" s="43"/>
      <c r="B440" s="43"/>
      <c r="C440" s="43"/>
      <c r="D440" s="43"/>
      <c r="E440" s="42"/>
    </row>
    <row r="441" spans="1:5" ht="12.75" customHeight="1">
      <c r="A441" s="43"/>
      <c r="B441" s="43"/>
      <c r="C441" s="43"/>
      <c r="D441" s="43"/>
      <c r="E441" s="42"/>
    </row>
    <row r="442" spans="1:5" ht="12.75" customHeight="1">
      <c r="A442" s="43"/>
      <c r="B442" s="43"/>
      <c r="C442" s="43"/>
      <c r="D442" s="43"/>
      <c r="E442" s="42"/>
    </row>
    <row r="443" spans="1:5" ht="12.75" customHeight="1">
      <c r="A443" s="43"/>
      <c r="B443" s="43"/>
      <c r="C443" s="43"/>
      <c r="D443" s="43"/>
      <c r="E443" s="42"/>
    </row>
    <row r="444" spans="1:5" ht="12.75" customHeight="1">
      <c r="A444" s="43"/>
      <c r="B444" s="43"/>
      <c r="C444" s="43"/>
      <c r="D444" s="43"/>
      <c r="E444" s="42"/>
    </row>
    <row r="445" spans="1:5" ht="12.75" customHeight="1">
      <c r="A445" s="43"/>
      <c r="B445" s="43"/>
      <c r="C445" s="43"/>
      <c r="D445" s="43"/>
      <c r="E445" s="42"/>
    </row>
    <row r="446" spans="1:5" ht="12.75" customHeight="1">
      <c r="A446" s="43"/>
      <c r="B446" s="43"/>
      <c r="C446" s="43"/>
      <c r="D446" s="43"/>
      <c r="E446" s="42"/>
    </row>
    <row r="447" spans="1:5" ht="12.75" customHeight="1">
      <c r="A447" s="43"/>
      <c r="B447" s="43"/>
      <c r="C447" s="43"/>
      <c r="D447" s="43"/>
      <c r="E447" s="42"/>
    </row>
    <row r="448" spans="1:5" ht="12.75" customHeight="1">
      <c r="A448" s="43"/>
      <c r="B448" s="43"/>
      <c r="C448" s="43"/>
      <c r="D448" s="43"/>
      <c r="E448" s="42"/>
    </row>
    <row r="449" spans="1:5" ht="12.75" customHeight="1">
      <c r="A449" s="43"/>
      <c r="B449" s="43"/>
      <c r="C449" s="43"/>
      <c r="D449" s="43"/>
      <c r="E449" s="42"/>
    </row>
    <row r="450" spans="1:5" ht="12.75" customHeight="1">
      <c r="A450" s="43"/>
      <c r="B450" s="43"/>
      <c r="C450" s="43"/>
      <c r="D450" s="43"/>
      <c r="E450" s="42"/>
    </row>
    <row r="451" spans="1:5" ht="12.75" customHeight="1">
      <c r="A451" s="43"/>
      <c r="B451" s="43"/>
      <c r="C451" s="43"/>
      <c r="D451" s="43"/>
      <c r="E451" s="42"/>
    </row>
    <row r="452" spans="1:5" ht="12.75" customHeight="1">
      <c r="A452" s="43"/>
      <c r="B452" s="43"/>
      <c r="C452" s="43"/>
      <c r="D452" s="43"/>
      <c r="E452" s="42"/>
    </row>
    <row r="453" spans="1:5" ht="12.75" customHeight="1">
      <c r="A453" s="43"/>
      <c r="B453" s="43"/>
      <c r="C453" s="43"/>
      <c r="D453" s="43"/>
      <c r="E453" s="42"/>
    </row>
    <row r="454" spans="1:5" ht="12.75" customHeight="1">
      <c r="A454" s="43"/>
      <c r="B454" s="43"/>
      <c r="C454" s="43"/>
      <c r="D454" s="43"/>
      <c r="E454" s="42"/>
    </row>
    <row r="455" spans="1:5" ht="12.75" customHeight="1">
      <c r="A455" s="43"/>
      <c r="B455" s="43"/>
      <c r="C455" s="43"/>
      <c r="D455" s="43"/>
      <c r="E455" s="42"/>
    </row>
    <row r="456" spans="1:5" ht="12.75" customHeight="1">
      <c r="A456" s="43"/>
      <c r="B456" s="43"/>
      <c r="C456" s="43"/>
      <c r="D456" s="43"/>
      <c r="E456" s="42"/>
    </row>
    <row r="457" spans="1:5" ht="12.75" customHeight="1">
      <c r="A457" s="43"/>
      <c r="B457" s="43"/>
      <c r="C457" s="43"/>
      <c r="D457" s="43"/>
      <c r="E457" s="42"/>
    </row>
    <row r="458" spans="1:5" ht="12.75" customHeight="1">
      <c r="A458" s="43"/>
      <c r="B458" s="43"/>
      <c r="C458" s="43"/>
      <c r="D458" s="43"/>
      <c r="E458" s="42"/>
    </row>
    <row r="459" spans="1:5" ht="12.75" customHeight="1">
      <c r="A459" s="43"/>
      <c r="B459" s="43"/>
      <c r="C459" s="43"/>
      <c r="D459" s="43"/>
      <c r="E459" s="42"/>
    </row>
    <row r="460" spans="1:5" ht="12.75" customHeight="1">
      <c r="A460" s="43"/>
      <c r="B460" s="43"/>
      <c r="C460" s="43"/>
      <c r="D460" s="43"/>
      <c r="E460" s="42"/>
    </row>
    <row r="461" spans="1:5" ht="12.75" customHeight="1">
      <c r="A461" s="43"/>
      <c r="B461" s="43"/>
      <c r="C461" s="43"/>
      <c r="D461" s="43"/>
      <c r="E461" s="42"/>
    </row>
    <row r="462" spans="1:5" ht="12.75" customHeight="1">
      <c r="A462" s="43"/>
      <c r="B462" s="43"/>
      <c r="C462" s="43"/>
      <c r="D462" s="43"/>
      <c r="E462" s="42"/>
    </row>
    <row r="463" spans="1:5" ht="12.75" customHeight="1">
      <c r="A463" s="43"/>
      <c r="B463" s="43"/>
      <c r="C463" s="43"/>
      <c r="D463" s="43"/>
      <c r="E463" s="42"/>
    </row>
    <row r="464" spans="1:5" ht="12.75" customHeight="1">
      <c r="A464" s="43"/>
      <c r="B464" s="43"/>
      <c r="C464" s="43"/>
      <c r="D464" s="43"/>
      <c r="E464" s="42"/>
    </row>
    <row r="465" spans="1:5" ht="12.75" customHeight="1">
      <c r="A465" s="43"/>
      <c r="B465" s="43"/>
      <c r="C465" s="43"/>
      <c r="D465" s="43"/>
      <c r="E465" s="42"/>
    </row>
    <row r="466" spans="1:5" ht="12.75" customHeight="1">
      <c r="A466" s="43"/>
      <c r="B466" s="43"/>
      <c r="C466" s="43"/>
      <c r="D466" s="43"/>
      <c r="E466" s="42"/>
    </row>
    <row r="467" spans="1:5" ht="12.75" customHeight="1">
      <c r="A467" s="43"/>
      <c r="B467" s="43"/>
      <c r="C467" s="43"/>
      <c r="D467" s="43"/>
      <c r="E467" s="42"/>
    </row>
    <row r="468" spans="1:5" ht="12.75" customHeight="1">
      <c r="A468" s="43"/>
      <c r="B468" s="43"/>
      <c r="C468" s="43"/>
      <c r="D468" s="43"/>
      <c r="E468" s="42"/>
    </row>
    <row r="469" spans="1:5" ht="12.75" customHeight="1">
      <c r="A469" s="43"/>
      <c r="B469" s="43"/>
      <c r="C469" s="43"/>
      <c r="D469" s="43"/>
      <c r="E469" s="42"/>
    </row>
    <row r="470" spans="1:5" ht="12.75" customHeight="1">
      <c r="A470" s="43"/>
      <c r="B470" s="43"/>
      <c r="C470" s="43"/>
      <c r="D470" s="43"/>
      <c r="E470" s="42"/>
    </row>
    <row r="471" spans="1:5" ht="12.75" customHeight="1">
      <c r="A471" s="43"/>
      <c r="B471" s="43"/>
      <c r="C471" s="43"/>
      <c r="D471" s="43"/>
      <c r="E471" s="42"/>
    </row>
    <row r="472" spans="1:5" ht="12.75" customHeight="1">
      <c r="A472" s="43"/>
      <c r="B472" s="43"/>
      <c r="C472" s="43"/>
      <c r="D472" s="43"/>
      <c r="E472" s="42"/>
    </row>
    <row r="473" spans="1:5" ht="12.75" customHeight="1">
      <c r="A473" s="43"/>
      <c r="B473" s="43"/>
      <c r="C473" s="43"/>
      <c r="D473" s="43"/>
      <c r="E473" s="42"/>
    </row>
    <row r="474" spans="1:5" ht="12.75" customHeight="1">
      <c r="A474" s="43"/>
      <c r="B474" s="43"/>
      <c r="C474" s="43"/>
      <c r="D474" s="43"/>
      <c r="E474" s="42"/>
    </row>
    <row r="475" spans="1:5" ht="12.75" customHeight="1">
      <c r="A475" s="43"/>
      <c r="B475" s="43"/>
      <c r="C475" s="43"/>
      <c r="D475" s="43"/>
      <c r="E475" s="42"/>
    </row>
    <row r="476" spans="1:5" ht="12.75" customHeight="1">
      <c r="A476" s="43"/>
      <c r="B476" s="43"/>
      <c r="C476" s="43"/>
      <c r="D476" s="43"/>
      <c r="E476" s="42"/>
    </row>
    <row r="477" spans="1:5" ht="12.75" customHeight="1">
      <c r="A477" s="43"/>
      <c r="B477" s="43"/>
      <c r="C477" s="43"/>
      <c r="D477" s="43"/>
      <c r="E477" s="42"/>
    </row>
    <row r="478" spans="1:5" ht="12.75" customHeight="1">
      <c r="A478" s="43"/>
      <c r="B478" s="43"/>
      <c r="C478" s="43"/>
      <c r="D478" s="43"/>
      <c r="E478" s="42"/>
    </row>
    <row r="479" spans="1:5" ht="12.75" customHeight="1">
      <c r="A479" s="43"/>
      <c r="B479" s="43"/>
      <c r="C479" s="43"/>
      <c r="D479" s="43"/>
      <c r="E479" s="42"/>
    </row>
    <row r="480" spans="1:5" ht="12.75" customHeight="1">
      <c r="A480" s="43"/>
      <c r="B480" s="43"/>
      <c r="C480" s="43"/>
      <c r="D480" s="43"/>
      <c r="E480" s="42"/>
    </row>
    <row r="481" spans="1:5" ht="12.75" customHeight="1">
      <c r="A481" s="43"/>
      <c r="B481" s="43"/>
      <c r="C481" s="43"/>
      <c r="D481" s="43"/>
      <c r="E481" s="42"/>
    </row>
    <row r="482" spans="1:5" ht="12.75" customHeight="1">
      <c r="A482" s="43"/>
      <c r="B482" s="43"/>
      <c r="C482" s="43"/>
      <c r="D482" s="43"/>
      <c r="E482" s="42"/>
    </row>
    <row r="483" spans="1:5" ht="12.75" customHeight="1">
      <c r="A483" s="43"/>
      <c r="B483" s="43"/>
      <c r="C483" s="43"/>
      <c r="D483" s="43"/>
      <c r="E483" s="42"/>
    </row>
    <row r="484" spans="1:5" ht="12.75" customHeight="1">
      <c r="A484" s="43"/>
      <c r="B484" s="43"/>
      <c r="C484" s="43"/>
      <c r="D484" s="43"/>
      <c r="E484" s="42"/>
    </row>
    <row r="485" spans="1:5" ht="12.75" customHeight="1">
      <c r="A485" s="43"/>
      <c r="B485" s="43"/>
      <c r="C485" s="43"/>
      <c r="D485" s="43"/>
      <c r="E485" s="42"/>
    </row>
    <row r="486" spans="1:5" ht="12.75" customHeight="1">
      <c r="A486" s="43"/>
      <c r="B486" s="43"/>
      <c r="C486" s="43"/>
      <c r="D486" s="43"/>
      <c r="E486" s="42"/>
    </row>
    <row r="487" spans="1:5" ht="12.75" customHeight="1">
      <c r="A487" s="43"/>
      <c r="B487" s="43"/>
      <c r="C487" s="43"/>
      <c r="D487" s="43"/>
      <c r="E487" s="42"/>
    </row>
    <row r="488" spans="1:5" ht="12.75" customHeight="1">
      <c r="A488" s="43"/>
      <c r="B488" s="43"/>
      <c r="C488" s="43"/>
      <c r="D488" s="43"/>
      <c r="E488" s="42"/>
    </row>
    <row r="489" spans="1:5" ht="12.75" customHeight="1">
      <c r="A489" s="43"/>
      <c r="B489" s="43"/>
      <c r="C489" s="43"/>
      <c r="D489" s="43"/>
      <c r="E489" s="42"/>
    </row>
    <row r="490" spans="1:5" ht="12.75" customHeight="1">
      <c r="A490" s="43"/>
      <c r="B490" s="43"/>
      <c r="C490" s="43"/>
      <c r="D490" s="43"/>
      <c r="E490" s="42"/>
    </row>
    <row r="491" spans="1:5" ht="12.75" customHeight="1">
      <c r="A491" s="43"/>
      <c r="B491" s="43"/>
      <c r="C491" s="43"/>
      <c r="D491" s="43"/>
      <c r="E491" s="42"/>
    </row>
    <row r="492" spans="1:5" ht="12.75" customHeight="1">
      <c r="A492" s="43"/>
      <c r="B492" s="43"/>
      <c r="C492" s="43"/>
      <c r="D492" s="43"/>
      <c r="E492" s="42"/>
    </row>
    <row r="493" spans="1:5" ht="12.75" customHeight="1">
      <c r="A493" s="43"/>
      <c r="B493" s="43"/>
      <c r="C493" s="43"/>
      <c r="D493" s="43"/>
      <c r="E493" s="42"/>
    </row>
    <row r="494" spans="1:5" ht="12.75" customHeight="1">
      <c r="A494" s="43"/>
      <c r="B494" s="43"/>
      <c r="C494" s="43"/>
      <c r="D494" s="43"/>
      <c r="E494" s="42"/>
    </row>
    <row r="495" spans="1:5" ht="12.75" customHeight="1">
      <c r="A495" s="43"/>
      <c r="B495" s="43"/>
      <c r="C495" s="43"/>
      <c r="D495" s="43"/>
      <c r="E495" s="42"/>
    </row>
    <row r="496" spans="1:5" ht="12.75" customHeight="1">
      <c r="A496" s="43"/>
      <c r="B496" s="43"/>
      <c r="C496" s="43"/>
      <c r="D496" s="43"/>
      <c r="E496" s="42"/>
    </row>
    <row r="497" spans="1:5" ht="12.75" customHeight="1">
      <c r="A497" s="43"/>
      <c r="B497" s="43"/>
      <c r="C497" s="43"/>
      <c r="D497" s="43"/>
      <c r="E497" s="42"/>
    </row>
    <row r="498" spans="1:5" ht="12.75" customHeight="1">
      <c r="A498" s="43"/>
      <c r="B498" s="43"/>
      <c r="C498" s="43"/>
      <c r="D498" s="43"/>
      <c r="E498" s="42"/>
    </row>
    <row r="499" spans="1:5" ht="12.75" customHeight="1">
      <c r="A499" s="43"/>
      <c r="B499" s="43"/>
      <c r="C499" s="43"/>
      <c r="D499" s="43"/>
      <c r="E499" s="42"/>
    </row>
    <row r="500" spans="1:5" ht="12.75" customHeight="1">
      <c r="A500" s="43"/>
      <c r="B500" s="43"/>
      <c r="C500" s="43"/>
      <c r="D500" s="43"/>
      <c r="E500" s="42"/>
    </row>
    <row r="501" spans="1:5" ht="12.75" customHeight="1">
      <c r="A501" s="43"/>
      <c r="B501" s="43"/>
      <c r="C501" s="43"/>
      <c r="D501" s="43"/>
      <c r="E501" s="42"/>
    </row>
    <row r="502" spans="1:5" ht="12.75" customHeight="1">
      <c r="A502" s="43"/>
      <c r="B502" s="43"/>
      <c r="C502" s="43"/>
      <c r="D502" s="43"/>
      <c r="E502" s="42"/>
    </row>
    <row r="503" spans="1:5" ht="12.75" customHeight="1">
      <c r="A503" s="43"/>
      <c r="B503" s="43"/>
      <c r="C503" s="43"/>
      <c r="D503" s="43"/>
      <c r="E503" s="42"/>
    </row>
    <row r="504" spans="1:5" ht="12.75" customHeight="1">
      <c r="A504" s="43"/>
      <c r="B504" s="43"/>
      <c r="C504" s="43"/>
      <c r="D504" s="43"/>
      <c r="E504" s="42"/>
    </row>
    <row r="505" spans="1:5" ht="12.75" customHeight="1">
      <c r="A505" s="43"/>
      <c r="B505" s="43"/>
      <c r="C505" s="43"/>
      <c r="D505" s="43"/>
      <c r="E505" s="42"/>
    </row>
    <row r="506" spans="1:5" ht="12.75" customHeight="1">
      <c r="A506" s="43"/>
      <c r="B506" s="43"/>
      <c r="C506" s="43"/>
      <c r="D506" s="43"/>
      <c r="E506" s="42"/>
    </row>
    <row r="507" spans="1:5" ht="12.75" customHeight="1">
      <c r="A507" s="43"/>
      <c r="B507" s="43"/>
      <c r="C507" s="43"/>
      <c r="D507" s="43"/>
      <c r="E507" s="42"/>
    </row>
    <row r="508" spans="1:5" ht="12.75" customHeight="1">
      <c r="A508" s="43"/>
      <c r="B508" s="43"/>
      <c r="C508" s="43"/>
      <c r="D508" s="43"/>
      <c r="E508" s="42"/>
    </row>
    <row r="509" spans="1:5" ht="12.75" customHeight="1">
      <c r="A509" s="43"/>
      <c r="B509" s="43"/>
      <c r="C509" s="43"/>
      <c r="D509" s="43"/>
      <c r="E509" s="42"/>
    </row>
    <row r="510" spans="1:5" ht="12.75" customHeight="1">
      <c r="A510" s="43"/>
      <c r="B510" s="43"/>
      <c r="C510" s="43"/>
      <c r="D510" s="43"/>
      <c r="E510" s="42"/>
    </row>
    <row r="511" spans="1:5" ht="12.75" customHeight="1">
      <c r="A511" s="43"/>
      <c r="B511" s="43"/>
      <c r="C511" s="43"/>
      <c r="D511" s="43"/>
      <c r="E511" s="42"/>
    </row>
    <row r="512" spans="1:5" ht="12.75" customHeight="1">
      <c r="A512" s="43"/>
      <c r="B512" s="43"/>
      <c r="C512" s="43"/>
      <c r="D512" s="43"/>
      <c r="E512" s="42"/>
    </row>
    <row r="513" spans="1:5" ht="12.75" customHeight="1">
      <c r="A513" s="43"/>
      <c r="B513" s="43"/>
      <c r="C513" s="43"/>
      <c r="D513" s="43"/>
      <c r="E513" s="42"/>
    </row>
    <row r="514" spans="1:5" ht="12.75" customHeight="1">
      <c r="A514" s="43"/>
      <c r="B514" s="43"/>
      <c r="C514" s="43"/>
      <c r="D514" s="43"/>
      <c r="E514" s="42"/>
    </row>
    <row r="515" spans="1:5" ht="12.75" customHeight="1">
      <c r="A515" s="43"/>
      <c r="B515" s="43"/>
      <c r="C515" s="43"/>
      <c r="D515" s="43"/>
      <c r="E515" s="42"/>
    </row>
    <row r="516" spans="1:5" ht="12.75" customHeight="1">
      <c r="A516" s="43"/>
      <c r="B516" s="43"/>
      <c r="C516" s="43"/>
      <c r="D516" s="43"/>
      <c r="E516" s="42"/>
    </row>
    <row r="517" spans="1:5" ht="12.75" customHeight="1">
      <c r="A517" s="43"/>
      <c r="B517" s="43"/>
      <c r="C517" s="43"/>
      <c r="D517" s="43"/>
      <c r="E517" s="42"/>
    </row>
    <row r="518" spans="1:5" ht="12.75" customHeight="1">
      <c r="A518" s="43"/>
      <c r="B518" s="43"/>
      <c r="C518" s="43"/>
      <c r="D518" s="43"/>
      <c r="E518" s="42"/>
    </row>
    <row r="519" spans="1:5" ht="12.75" customHeight="1">
      <c r="A519" s="43"/>
      <c r="B519" s="43"/>
      <c r="C519" s="43"/>
      <c r="D519" s="43"/>
      <c r="E519" s="42"/>
    </row>
    <row r="520" spans="1:5" ht="12.75" customHeight="1">
      <c r="A520" s="43"/>
      <c r="B520" s="43"/>
      <c r="C520" s="43"/>
      <c r="D520" s="43"/>
      <c r="E520" s="42"/>
    </row>
    <row r="521" spans="1:5" ht="12.75" customHeight="1">
      <c r="A521" s="43"/>
      <c r="B521" s="43"/>
      <c r="C521" s="43"/>
      <c r="D521" s="43"/>
      <c r="E521" s="42"/>
    </row>
    <row r="522" spans="1:5" ht="12.75" customHeight="1">
      <c r="A522" s="43"/>
      <c r="B522" s="43"/>
      <c r="C522" s="43"/>
      <c r="D522" s="43"/>
      <c r="E522" s="42"/>
    </row>
    <row r="523" spans="1:5" ht="12.75" customHeight="1">
      <c r="A523" s="43"/>
      <c r="B523" s="43"/>
      <c r="C523" s="43"/>
      <c r="D523" s="43"/>
      <c r="E523" s="42"/>
    </row>
    <row r="524" spans="1:5" ht="12.75" customHeight="1">
      <c r="A524" s="43"/>
      <c r="B524" s="43"/>
      <c r="C524" s="43"/>
      <c r="D524" s="43"/>
      <c r="E524" s="42"/>
    </row>
    <row r="525" spans="1:5" ht="12.75" customHeight="1">
      <c r="A525" s="43"/>
      <c r="B525" s="43"/>
      <c r="C525" s="43"/>
      <c r="D525" s="43"/>
      <c r="E525" s="42"/>
    </row>
    <row r="526" spans="1:5" ht="12.75" customHeight="1">
      <c r="A526" s="43"/>
      <c r="B526" s="43"/>
      <c r="C526" s="43"/>
      <c r="D526" s="43"/>
      <c r="E526" s="42"/>
    </row>
    <row r="527" spans="1:5" ht="12.75" customHeight="1">
      <c r="A527" s="43"/>
      <c r="B527" s="43"/>
      <c r="C527" s="43"/>
      <c r="D527" s="43"/>
      <c r="E527" s="42"/>
    </row>
    <row r="528" spans="1:5" ht="12.75" customHeight="1">
      <c r="A528" s="43"/>
      <c r="B528" s="43"/>
      <c r="C528" s="43"/>
      <c r="D528" s="43"/>
      <c r="E528" s="42"/>
    </row>
    <row r="529" spans="1:5" ht="12.75" customHeight="1">
      <c r="A529" s="43"/>
      <c r="B529" s="43"/>
      <c r="C529" s="43"/>
      <c r="D529" s="43"/>
      <c r="E529" s="42"/>
    </row>
    <row r="530" spans="1:5" ht="12.75" customHeight="1">
      <c r="A530" s="43"/>
      <c r="B530" s="43"/>
      <c r="C530" s="43"/>
      <c r="D530" s="43"/>
      <c r="E530" s="42"/>
    </row>
    <row r="531" spans="1:5" ht="12.75" customHeight="1">
      <c r="A531" s="43"/>
      <c r="B531" s="43"/>
      <c r="C531" s="43"/>
      <c r="D531" s="43"/>
      <c r="E531" s="42"/>
    </row>
    <row r="532" spans="1:5" ht="12.75" customHeight="1">
      <c r="A532" s="43"/>
      <c r="B532" s="43"/>
      <c r="C532" s="43"/>
      <c r="D532" s="43"/>
      <c r="E532" s="42"/>
    </row>
    <row r="533" spans="1:5" ht="12.75" customHeight="1">
      <c r="A533" s="43"/>
      <c r="B533" s="43"/>
      <c r="C533" s="43"/>
      <c r="D533" s="43"/>
      <c r="E533" s="42"/>
    </row>
    <row r="534" spans="1:5" ht="12.75" customHeight="1">
      <c r="A534" s="43"/>
      <c r="B534" s="43"/>
      <c r="C534" s="43"/>
      <c r="D534" s="43"/>
      <c r="E534" s="42"/>
    </row>
    <row r="535" spans="1:5" ht="12.75" customHeight="1">
      <c r="A535" s="43"/>
      <c r="B535" s="43"/>
      <c r="C535" s="43"/>
      <c r="D535" s="43"/>
      <c r="E535" s="42"/>
    </row>
    <row r="536" spans="1:5" ht="12.75" customHeight="1">
      <c r="A536" s="43"/>
      <c r="B536" s="43"/>
      <c r="C536" s="43"/>
      <c r="D536" s="43"/>
      <c r="E536" s="42"/>
    </row>
    <row r="537" spans="1:5" ht="12.75" customHeight="1">
      <c r="A537" s="43"/>
      <c r="B537" s="43"/>
      <c r="C537" s="43"/>
      <c r="D537" s="43"/>
      <c r="E537" s="42"/>
    </row>
    <row r="538" spans="1:5" ht="12.75" customHeight="1">
      <c r="A538" s="43"/>
      <c r="B538" s="43"/>
      <c r="C538" s="43"/>
      <c r="D538" s="43"/>
      <c r="E538" s="42"/>
    </row>
    <row r="539" spans="1:5" ht="12.75" customHeight="1">
      <c r="A539" s="43"/>
      <c r="B539" s="43"/>
      <c r="C539" s="43"/>
      <c r="D539" s="43"/>
      <c r="E539" s="42"/>
    </row>
    <row r="540" spans="1:5" ht="12.75" customHeight="1">
      <c r="A540" s="43"/>
      <c r="B540" s="43"/>
      <c r="C540" s="43"/>
      <c r="D540" s="43"/>
      <c r="E540" s="42"/>
    </row>
    <row r="541" spans="1:5" ht="12.75" customHeight="1">
      <c r="A541" s="43"/>
      <c r="B541" s="43"/>
      <c r="C541" s="43"/>
      <c r="D541" s="43"/>
      <c r="E541" s="42"/>
    </row>
    <row r="542" spans="1:5" ht="12.75" customHeight="1">
      <c r="A542" s="43"/>
      <c r="B542" s="43"/>
      <c r="C542" s="43"/>
      <c r="D542" s="43"/>
      <c r="E542" s="42"/>
    </row>
    <row r="543" spans="1:5" ht="12.75" customHeight="1">
      <c r="A543" s="43"/>
      <c r="B543" s="43"/>
      <c r="C543" s="43"/>
      <c r="D543" s="43"/>
      <c r="E543" s="42"/>
    </row>
    <row r="544" spans="1:5" ht="12.75" customHeight="1">
      <c r="A544" s="43"/>
      <c r="B544" s="43"/>
      <c r="C544" s="43"/>
      <c r="D544" s="43"/>
      <c r="E544" s="42"/>
    </row>
    <row r="545" spans="1:5" ht="12.75" customHeight="1">
      <c r="A545" s="43"/>
      <c r="B545" s="43"/>
      <c r="C545" s="43"/>
      <c r="D545" s="43"/>
      <c r="E545" s="42"/>
    </row>
    <row r="546" spans="1:5" ht="12.75" customHeight="1">
      <c r="A546" s="43"/>
      <c r="B546" s="43"/>
      <c r="C546" s="43"/>
      <c r="D546" s="43"/>
      <c r="E546" s="42"/>
    </row>
    <row r="547" spans="1:5" ht="12.75" customHeight="1">
      <c r="A547" s="43"/>
      <c r="B547" s="43"/>
      <c r="C547" s="43"/>
      <c r="D547" s="43"/>
      <c r="E547" s="42"/>
    </row>
    <row r="548" spans="1:5" ht="12.75" customHeight="1">
      <c r="A548" s="43"/>
      <c r="B548" s="43"/>
      <c r="C548" s="43"/>
      <c r="D548" s="43"/>
      <c r="E548" s="42"/>
    </row>
    <row r="549" spans="1:5" ht="12.75" customHeight="1">
      <c r="A549" s="43"/>
      <c r="B549" s="43"/>
      <c r="C549" s="43"/>
      <c r="D549" s="43"/>
      <c r="E549" s="42"/>
    </row>
    <row r="550" spans="1:5" ht="12.75" customHeight="1">
      <c r="A550" s="43"/>
      <c r="B550" s="43"/>
      <c r="C550" s="43"/>
      <c r="D550" s="43"/>
      <c r="E550" s="42"/>
    </row>
    <row r="551" spans="1:5" ht="12.75" customHeight="1">
      <c r="A551" s="43"/>
      <c r="B551" s="43"/>
      <c r="C551" s="43"/>
      <c r="D551" s="43"/>
      <c r="E551" s="42"/>
    </row>
    <row r="552" spans="1:5" ht="12.75" customHeight="1">
      <c r="A552" s="43"/>
      <c r="B552" s="43"/>
      <c r="C552" s="43"/>
      <c r="D552" s="43"/>
      <c r="E552" s="42"/>
    </row>
    <row r="553" spans="1:5" ht="12.75" customHeight="1">
      <c r="A553" s="43"/>
      <c r="B553" s="43"/>
      <c r="C553" s="43"/>
      <c r="D553" s="43"/>
      <c r="E553" s="42"/>
    </row>
    <row r="554" spans="1:5" ht="12.75" customHeight="1">
      <c r="A554" s="43"/>
      <c r="B554" s="43"/>
      <c r="C554" s="43"/>
      <c r="D554" s="43"/>
      <c r="E554" s="42"/>
    </row>
    <row r="555" spans="1:5" ht="12.75" customHeight="1">
      <c r="A555" s="43"/>
      <c r="B555" s="43"/>
      <c r="C555" s="43"/>
      <c r="D555" s="43"/>
      <c r="E555" s="42"/>
    </row>
    <row r="556" spans="1:5" ht="12.75" customHeight="1">
      <c r="A556" s="43"/>
      <c r="B556" s="43"/>
      <c r="C556" s="43"/>
      <c r="D556" s="43"/>
      <c r="E556" s="42"/>
    </row>
    <row r="557" spans="1:5" ht="12.75" customHeight="1">
      <c r="A557" s="43"/>
      <c r="B557" s="43"/>
      <c r="C557" s="43"/>
      <c r="D557" s="43"/>
      <c r="E557" s="42"/>
    </row>
    <row r="558" spans="1:5" ht="12.75" customHeight="1">
      <c r="A558" s="43"/>
      <c r="B558" s="43"/>
      <c r="C558" s="43"/>
      <c r="D558" s="43"/>
      <c r="E558" s="42"/>
    </row>
    <row r="559" spans="1:5" ht="12.75" customHeight="1">
      <c r="A559" s="43"/>
      <c r="B559" s="43"/>
      <c r="C559" s="43"/>
      <c r="D559" s="43"/>
      <c r="E559" s="42"/>
    </row>
    <row r="560" spans="1:5" ht="12.75" customHeight="1">
      <c r="A560" s="43"/>
      <c r="B560" s="43"/>
      <c r="C560" s="43"/>
      <c r="D560" s="43"/>
      <c r="E560" s="42"/>
    </row>
    <row r="561" spans="1:5" ht="12.75" customHeight="1">
      <c r="A561" s="43"/>
      <c r="B561" s="43"/>
      <c r="C561" s="43"/>
      <c r="D561" s="43"/>
      <c r="E561" s="42"/>
    </row>
    <row r="562" spans="1:5" ht="12.75" customHeight="1">
      <c r="A562" s="43"/>
      <c r="B562" s="43"/>
      <c r="C562" s="43"/>
      <c r="D562" s="43"/>
      <c r="E562" s="42"/>
    </row>
    <row r="563" spans="1:5" ht="12.75" customHeight="1">
      <c r="A563" s="43"/>
      <c r="B563" s="43"/>
      <c r="C563" s="43"/>
      <c r="D563" s="43"/>
      <c r="E563" s="42"/>
    </row>
    <row r="564" spans="1:5" ht="12.75" customHeight="1">
      <c r="A564" s="43"/>
      <c r="B564" s="43"/>
      <c r="C564" s="43"/>
      <c r="D564" s="43"/>
      <c r="E564" s="42"/>
    </row>
    <row r="565" spans="1:5" ht="12.75" customHeight="1">
      <c r="A565" s="43"/>
      <c r="B565" s="43"/>
      <c r="C565" s="43"/>
      <c r="D565" s="43"/>
      <c r="E565" s="42"/>
    </row>
    <row r="566" spans="1:5" ht="12.75" customHeight="1">
      <c r="A566" s="43"/>
      <c r="B566" s="43"/>
      <c r="C566" s="43"/>
      <c r="D566" s="43"/>
      <c r="E566" s="42"/>
    </row>
    <row r="567" spans="1:5" ht="12.75" customHeight="1">
      <c r="A567" s="43"/>
      <c r="B567" s="43"/>
      <c r="C567" s="43"/>
      <c r="D567" s="43"/>
      <c r="E567" s="42"/>
    </row>
    <row r="568" spans="1:5" ht="12.75" customHeight="1">
      <c r="A568" s="43"/>
      <c r="B568" s="43"/>
      <c r="C568" s="43"/>
      <c r="D568" s="43"/>
      <c r="E568" s="42"/>
    </row>
    <row r="569" spans="1:5" ht="12.75" customHeight="1">
      <c r="A569" s="43"/>
      <c r="B569" s="43"/>
      <c r="C569" s="43"/>
      <c r="D569" s="43"/>
      <c r="E569" s="42"/>
    </row>
    <row r="570" spans="1:5" ht="12.75" customHeight="1">
      <c r="A570" s="43"/>
      <c r="B570" s="43"/>
      <c r="C570" s="43"/>
      <c r="D570" s="43"/>
      <c r="E570" s="42"/>
    </row>
    <row r="571" spans="1:5" ht="12.75" customHeight="1">
      <c r="A571" s="43"/>
      <c r="B571" s="43"/>
      <c r="C571" s="43"/>
      <c r="D571" s="43"/>
      <c r="E571" s="42"/>
    </row>
    <row r="572" spans="1:5" ht="12.75" customHeight="1">
      <c r="A572" s="43"/>
      <c r="B572" s="43"/>
      <c r="C572" s="43"/>
      <c r="D572" s="43"/>
      <c r="E572" s="42"/>
    </row>
    <row r="573" spans="1:5" ht="12.75" customHeight="1">
      <c r="A573" s="43"/>
      <c r="B573" s="43"/>
      <c r="C573" s="43"/>
      <c r="D573" s="43"/>
      <c r="E573" s="42"/>
    </row>
    <row r="574" spans="1:5" ht="12.75" customHeight="1">
      <c r="A574" s="43"/>
      <c r="B574" s="43"/>
      <c r="C574" s="43"/>
      <c r="D574" s="43"/>
      <c r="E574" s="42"/>
    </row>
    <row r="575" spans="1:5" ht="12.75" customHeight="1">
      <c r="A575" s="43"/>
      <c r="B575" s="43"/>
      <c r="C575" s="43"/>
      <c r="D575" s="43"/>
      <c r="E575" s="42"/>
    </row>
    <row r="576" spans="1:5" ht="12.75" customHeight="1">
      <c r="A576" s="43"/>
      <c r="B576" s="43"/>
      <c r="C576" s="43"/>
      <c r="D576" s="43"/>
      <c r="E576" s="42"/>
    </row>
    <row r="577" spans="1:5" ht="12.75" customHeight="1">
      <c r="A577" s="43"/>
      <c r="B577" s="43"/>
      <c r="C577" s="43"/>
      <c r="D577" s="43"/>
      <c r="E577" s="42"/>
    </row>
    <row r="578" spans="1:5" ht="12.75" customHeight="1">
      <c r="A578" s="43"/>
      <c r="B578" s="43"/>
      <c r="C578" s="43"/>
      <c r="D578" s="43"/>
      <c r="E578" s="42"/>
    </row>
    <row r="579" spans="1:5" ht="12.75" customHeight="1">
      <c r="A579" s="43"/>
      <c r="B579" s="43"/>
      <c r="C579" s="43"/>
      <c r="D579" s="43"/>
      <c r="E579" s="42"/>
    </row>
    <row r="580" spans="1:5" ht="12.75" customHeight="1">
      <c r="A580" s="43"/>
      <c r="B580" s="43"/>
      <c r="C580" s="43"/>
      <c r="D580" s="43"/>
      <c r="E580" s="42"/>
    </row>
    <row r="581" spans="1:5" ht="12.75" customHeight="1">
      <c r="A581" s="43"/>
      <c r="B581" s="43"/>
      <c r="C581" s="43"/>
      <c r="D581" s="43"/>
      <c r="E581" s="42"/>
    </row>
    <row r="582" spans="1:5" ht="12.75" customHeight="1">
      <c r="A582" s="43"/>
      <c r="B582" s="43"/>
      <c r="C582" s="43"/>
      <c r="D582" s="43"/>
      <c r="E582" s="42"/>
    </row>
    <row r="583" spans="1:5" ht="12.75" customHeight="1">
      <c r="A583" s="43"/>
      <c r="B583" s="43"/>
      <c r="C583" s="43"/>
      <c r="D583" s="43"/>
      <c r="E583" s="42"/>
    </row>
    <row r="584" spans="1:5" ht="12.75" customHeight="1">
      <c r="A584" s="43"/>
      <c r="B584" s="43"/>
      <c r="C584" s="43"/>
      <c r="D584" s="43"/>
      <c r="E584" s="42"/>
    </row>
    <row r="585" spans="1:5" ht="12.75" customHeight="1">
      <c r="A585" s="43"/>
      <c r="B585" s="43"/>
      <c r="C585" s="43"/>
      <c r="D585" s="43"/>
      <c r="E585" s="42"/>
    </row>
    <row r="586" spans="1:5" ht="12.75" customHeight="1">
      <c r="A586" s="43"/>
      <c r="B586" s="43"/>
      <c r="C586" s="43"/>
      <c r="D586" s="43"/>
      <c r="E586" s="42"/>
    </row>
    <row r="587" spans="1:5" ht="12.75" customHeight="1">
      <c r="A587" s="43"/>
      <c r="B587" s="43"/>
      <c r="C587" s="43"/>
      <c r="D587" s="43"/>
      <c r="E587" s="42"/>
    </row>
    <row r="588" spans="1:5" ht="12.75" customHeight="1">
      <c r="A588" s="43"/>
      <c r="B588" s="43"/>
      <c r="C588" s="43"/>
      <c r="D588" s="43"/>
      <c r="E588" s="42"/>
    </row>
    <row r="589" spans="1:5" ht="12.75" customHeight="1">
      <c r="A589" s="43"/>
      <c r="B589" s="43"/>
      <c r="C589" s="43"/>
      <c r="D589" s="43"/>
      <c r="E589" s="42"/>
    </row>
    <row r="590" spans="1:5" ht="12.75" customHeight="1">
      <c r="A590" s="43"/>
      <c r="B590" s="43"/>
      <c r="C590" s="43"/>
      <c r="D590" s="43"/>
      <c r="E590" s="42"/>
    </row>
    <row r="591" spans="1:5" ht="12.75" customHeight="1">
      <c r="A591" s="43"/>
      <c r="B591" s="43"/>
      <c r="C591" s="43"/>
      <c r="D591" s="43"/>
      <c r="E591" s="42"/>
    </row>
    <row r="592" spans="1:5" ht="12.75" customHeight="1">
      <c r="A592" s="43"/>
      <c r="B592" s="43"/>
      <c r="C592" s="43"/>
      <c r="D592" s="43"/>
      <c r="E592" s="42"/>
    </row>
    <row r="593" spans="1:5" ht="12.75" customHeight="1">
      <c r="A593" s="43"/>
      <c r="B593" s="43"/>
      <c r="C593" s="43"/>
      <c r="D593" s="43"/>
      <c r="E593" s="42"/>
    </row>
    <row r="594" spans="1:5" ht="12.75" customHeight="1">
      <c r="A594" s="43"/>
      <c r="B594" s="43"/>
      <c r="C594" s="43"/>
      <c r="D594" s="43"/>
      <c r="E594" s="42"/>
    </row>
    <row r="595" spans="1:5" ht="12.75" customHeight="1">
      <c r="A595" s="43"/>
      <c r="B595" s="43"/>
      <c r="C595" s="43"/>
      <c r="D595" s="43"/>
      <c r="E595" s="42"/>
    </row>
    <row r="596" spans="1:5" ht="12.75" customHeight="1">
      <c r="A596" s="43"/>
      <c r="B596" s="43"/>
      <c r="C596" s="43"/>
      <c r="D596" s="43"/>
      <c r="E596" s="42"/>
    </row>
    <row r="597" spans="1:5" ht="12.75" customHeight="1">
      <c r="A597" s="43"/>
      <c r="B597" s="43"/>
      <c r="C597" s="43"/>
      <c r="D597" s="43"/>
      <c r="E597" s="42"/>
    </row>
    <row r="598" spans="1:5" ht="12.75" customHeight="1">
      <c r="A598" s="43"/>
      <c r="B598" s="43"/>
      <c r="C598" s="43"/>
      <c r="D598" s="43"/>
      <c r="E598" s="42"/>
    </row>
    <row r="599" spans="1:5" ht="12.75" customHeight="1">
      <c r="A599" s="43"/>
      <c r="B599" s="43"/>
      <c r="C599" s="43"/>
      <c r="D599" s="43"/>
      <c r="E599" s="42"/>
    </row>
    <row r="600" spans="1:5" ht="12.75" customHeight="1">
      <c r="A600" s="43"/>
      <c r="B600" s="43"/>
      <c r="C600" s="43"/>
      <c r="D600" s="43"/>
      <c r="E600" s="42"/>
    </row>
    <row r="601" spans="1:5" ht="12.75" customHeight="1">
      <c r="A601" s="43"/>
      <c r="B601" s="43"/>
      <c r="C601" s="43"/>
      <c r="D601" s="43"/>
      <c r="E601" s="42"/>
    </row>
    <row r="602" spans="1:5" ht="12.75" customHeight="1">
      <c r="A602" s="43"/>
      <c r="B602" s="43"/>
      <c r="C602" s="43"/>
      <c r="D602" s="43"/>
      <c r="E602" s="42"/>
    </row>
    <row r="603" spans="1:5" ht="12.75" customHeight="1">
      <c r="A603" s="43"/>
      <c r="B603" s="43"/>
      <c r="C603" s="43"/>
      <c r="D603" s="43"/>
      <c r="E603" s="42"/>
    </row>
    <row r="604" spans="1:5" ht="12.75" customHeight="1">
      <c r="A604" s="43"/>
      <c r="B604" s="43"/>
      <c r="C604" s="43"/>
      <c r="D604" s="43"/>
      <c r="E604" s="42"/>
    </row>
    <row r="605" spans="1:5" ht="12.75" customHeight="1">
      <c r="A605" s="43"/>
      <c r="B605" s="43"/>
      <c r="C605" s="43"/>
      <c r="D605" s="43"/>
      <c r="E605" s="42"/>
    </row>
    <row r="606" spans="1:5" ht="12.75" customHeight="1">
      <c r="A606" s="43"/>
      <c r="B606" s="43"/>
      <c r="C606" s="43"/>
      <c r="D606" s="43"/>
      <c r="E606" s="42"/>
    </row>
    <row r="607" spans="1:5" ht="12.75" customHeight="1">
      <c r="A607" s="43"/>
      <c r="B607" s="43"/>
      <c r="C607" s="43"/>
      <c r="D607" s="43"/>
      <c r="E607" s="42"/>
    </row>
    <row r="608" spans="1:5" ht="12.75" customHeight="1">
      <c r="A608" s="43"/>
      <c r="B608" s="43"/>
      <c r="C608" s="43"/>
      <c r="D608" s="43"/>
      <c r="E608" s="42"/>
    </row>
    <row r="609" spans="1:5" ht="12.75" customHeight="1">
      <c r="A609" s="43"/>
      <c r="B609" s="43"/>
      <c r="C609" s="43"/>
      <c r="D609" s="43"/>
      <c r="E609" s="42"/>
    </row>
    <row r="610" spans="1:5" ht="12.75" customHeight="1">
      <c r="A610" s="43"/>
      <c r="B610" s="43"/>
      <c r="C610" s="43"/>
      <c r="D610" s="43"/>
      <c r="E610" s="42"/>
    </row>
    <row r="611" spans="1:5" ht="12.75" customHeight="1">
      <c r="A611" s="43"/>
      <c r="B611" s="43"/>
      <c r="C611" s="43"/>
      <c r="D611" s="43"/>
      <c r="E611" s="42"/>
    </row>
    <row r="612" spans="1:5" ht="12.75" customHeight="1">
      <c r="A612" s="43"/>
      <c r="B612" s="43"/>
      <c r="C612" s="43"/>
      <c r="D612" s="43"/>
      <c r="E612" s="42"/>
    </row>
    <row r="613" spans="1:5" ht="12.75" customHeight="1">
      <c r="A613" s="43"/>
      <c r="B613" s="43"/>
      <c r="C613" s="43"/>
      <c r="D613" s="43"/>
      <c r="E613" s="42"/>
    </row>
    <row r="614" spans="1:5" ht="12.75" customHeight="1">
      <c r="A614" s="43"/>
      <c r="B614" s="43"/>
      <c r="C614" s="43"/>
      <c r="D614" s="43"/>
      <c r="E614" s="42"/>
    </row>
    <row r="615" spans="1:5" ht="12.75" customHeight="1">
      <c r="A615" s="43"/>
      <c r="B615" s="43"/>
      <c r="C615" s="43"/>
      <c r="D615" s="43"/>
      <c r="E615" s="42"/>
    </row>
    <row r="616" spans="1:5" ht="12.75" customHeight="1">
      <c r="A616" s="43"/>
      <c r="B616" s="43"/>
      <c r="C616" s="43"/>
      <c r="D616" s="43"/>
      <c r="E616" s="42"/>
    </row>
    <row r="617" spans="1:5" ht="12.75" customHeight="1">
      <c r="A617" s="43"/>
      <c r="B617" s="43"/>
      <c r="C617" s="43"/>
      <c r="D617" s="43"/>
      <c r="E617" s="42"/>
    </row>
    <row r="618" spans="1:5" ht="12.75" customHeight="1">
      <c r="A618" s="43"/>
      <c r="B618" s="43"/>
      <c r="C618" s="43"/>
      <c r="D618" s="43"/>
      <c r="E618" s="42"/>
    </row>
    <row r="619" spans="1:5" ht="12.75" customHeight="1">
      <c r="A619" s="43"/>
      <c r="B619" s="43"/>
      <c r="C619" s="43"/>
      <c r="D619" s="43"/>
      <c r="E619" s="42"/>
    </row>
    <row r="620" spans="1:5" ht="12.75" customHeight="1">
      <c r="A620" s="43"/>
      <c r="B620" s="43"/>
      <c r="C620" s="43"/>
      <c r="D620" s="43"/>
      <c r="E620" s="42"/>
    </row>
    <row r="621" spans="1:5" ht="12.75" customHeight="1">
      <c r="A621" s="43"/>
      <c r="B621" s="43"/>
      <c r="C621" s="43"/>
      <c r="D621" s="43"/>
      <c r="E621" s="42"/>
    </row>
    <row r="622" spans="1:5" ht="12.75" customHeight="1">
      <c r="A622" s="43"/>
      <c r="B622" s="43"/>
      <c r="C622" s="43"/>
      <c r="D622" s="43"/>
      <c r="E622" s="42"/>
    </row>
    <row r="623" spans="1:5" ht="12.75" customHeight="1">
      <c r="A623" s="43"/>
      <c r="B623" s="43"/>
      <c r="C623" s="43"/>
      <c r="D623" s="43"/>
      <c r="E623" s="42"/>
    </row>
    <row r="624" spans="1:5" ht="12.75" customHeight="1">
      <c r="A624" s="43"/>
      <c r="B624" s="43"/>
      <c r="C624" s="43"/>
      <c r="D624" s="43"/>
      <c r="E624" s="42"/>
    </row>
    <row r="625" spans="1:5" ht="12.75" customHeight="1">
      <c r="A625" s="43"/>
      <c r="B625" s="43"/>
      <c r="C625" s="43"/>
      <c r="D625" s="43"/>
      <c r="E625" s="42"/>
    </row>
    <row r="626" spans="1:5" ht="12.75" customHeight="1">
      <c r="A626" s="43"/>
      <c r="B626" s="43"/>
      <c r="C626" s="43"/>
      <c r="D626" s="43"/>
      <c r="E626" s="42"/>
    </row>
    <row r="627" spans="1:5" ht="12.75" customHeight="1">
      <c r="A627" s="43"/>
      <c r="B627" s="43"/>
      <c r="C627" s="43"/>
      <c r="D627" s="43"/>
      <c r="E627" s="42"/>
    </row>
    <row r="628" spans="1:5" ht="12.75" customHeight="1">
      <c r="A628" s="43"/>
      <c r="B628" s="43"/>
      <c r="C628" s="43"/>
      <c r="D628" s="43"/>
      <c r="E628" s="42"/>
    </row>
    <row r="629" spans="1:5" ht="12.75" customHeight="1">
      <c r="A629" s="43"/>
      <c r="B629" s="43"/>
      <c r="C629" s="43"/>
      <c r="D629" s="43"/>
      <c r="E629" s="42"/>
    </row>
    <row r="630" spans="1:5" ht="12.75" customHeight="1">
      <c r="A630" s="43"/>
      <c r="B630" s="43"/>
      <c r="C630" s="43"/>
      <c r="D630" s="43"/>
      <c r="E630" s="42"/>
    </row>
    <row r="631" spans="1:5" ht="12.75" customHeight="1">
      <c r="A631" s="43"/>
      <c r="B631" s="43"/>
      <c r="C631" s="43"/>
      <c r="D631" s="43"/>
      <c r="E631" s="42"/>
    </row>
    <row r="632" spans="1:5" ht="12.75" customHeight="1">
      <c r="A632" s="43"/>
      <c r="B632" s="43"/>
      <c r="C632" s="43"/>
      <c r="D632" s="43"/>
      <c r="E632" s="42"/>
    </row>
    <row r="633" spans="1:5" ht="12.75" customHeight="1">
      <c r="A633" s="43"/>
      <c r="B633" s="43"/>
      <c r="C633" s="43"/>
      <c r="D633" s="43"/>
      <c r="E633" s="42"/>
    </row>
    <row r="634" spans="1:5" ht="12.75" customHeight="1">
      <c r="A634" s="43"/>
      <c r="B634" s="43"/>
      <c r="C634" s="43"/>
      <c r="D634" s="43"/>
      <c r="E634" s="42"/>
    </row>
    <row r="635" spans="1:5" ht="12.75" customHeight="1">
      <c r="A635" s="43"/>
      <c r="B635" s="43"/>
      <c r="C635" s="43"/>
      <c r="D635" s="43"/>
      <c r="E635" s="42"/>
    </row>
    <row r="636" spans="1:5" ht="12.75" customHeight="1">
      <c r="A636" s="43"/>
      <c r="B636" s="43"/>
      <c r="C636" s="43"/>
      <c r="D636" s="43"/>
      <c r="E636" s="42"/>
    </row>
    <row r="637" spans="1:5" ht="12.75" customHeight="1">
      <c r="A637" s="43"/>
      <c r="B637" s="43"/>
      <c r="C637" s="43"/>
      <c r="D637" s="43"/>
      <c r="E637" s="42"/>
    </row>
    <row r="638" spans="1:5" ht="12.75" customHeight="1">
      <c r="A638" s="43"/>
      <c r="B638" s="43"/>
      <c r="C638" s="43"/>
      <c r="D638" s="43"/>
      <c r="E638" s="42"/>
    </row>
    <row r="639" spans="1:5" ht="12.75" customHeight="1">
      <c r="A639" s="43"/>
      <c r="B639" s="43"/>
      <c r="C639" s="43"/>
      <c r="D639" s="43"/>
      <c r="E639" s="42"/>
    </row>
    <row r="640" spans="1:5" ht="12.75" customHeight="1">
      <c r="A640" s="43"/>
      <c r="B640" s="43"/>
      <c r="C640" s="43"/>
      <c r="D640" s="43"/>
      <c r="E640" s="42"/>
    </row>
    <row r="641" spans="1:5" ht="12.75" customHeight="1">
      <c r="A641" s="43"/>
      <c r="B641" s="43"/>
      <c r="C641" s="43"/>
      <c r="D641" s="43"/>
      <c r="E641" s="42"/>
    </row>
    <row r="642" spans="1:5" ht="12.75" customHeight="1">
      <c r="A642" s="43"/>
      <c r="B642" s="43"/>
      <c r="C642" s="43"/>
      <c r="D642" s="43"/>
      <c r="E642" s="42"/>
    </row>
    <row r="643" spans="1:5" ht="12.75" customHeight="1">
      <c r="A643" s="43"/>
      <c r="B643" s="43"/>
      <c r="C643" s="43"/>
      <c r="D643" s="43"/>
      <c r="E643" s="42"/>
    </row>
    <row r="644" spans="1:5" ht="12.75" customHeight="1">
      <c r="A644" s="43"/>
      <c r="B644" s="43"/>
      <c r="C644" s="43"/>
      <c r="D644" s="43"/>
      <c r="E644" s="42"/>
    </row>
    <row r="645" spans="1:5" ht="12.75" customHeight="1">
      <c r="A645" s="43"/>
      <c r="B645" s="43"/>
      <c r="C645" s="43"/>
      <c r="D645" s="43"/>
      <c r="E645" s="42"/>
    </row>
    <row r="646" spans="1:5" ht="12.75" customHeight="1">
      <c r="A646" s="43"/>
      <c r="B646" s="43"/>
      <c r="C646" s="43"/>
      <c r="D646" s="43"/>
      <c r="E646" s="42"/>
    </row>
    <row r="647" spans="1:5" ht="12.75" customHeight="1">
      <c r="A647" s="43"/>
      <c r="B647" s="43"/>
      <c r="C647" s="43"/>
      <c r="D647" s="43"/>
      <c r="E647" s="42"/>
    </row>
    <row r="648" spans="1:5" ht="12.75" customHeight="1">
      <c r="A648" s="43"/>
      <c r="B648" s="43"/>
      <c r="C648" s="43"/>
      <c r="D648" s="43"/>
      <c r="E648" s="42"/>
    </row>
    <row r="649" spans="1:5" ht="12.75" customHeight="1">
      <c r="A649" s="43"/>
      <c r="B649" s="43"/>
      <c r="C649" s="43"/>
      <c r="D649" s="43"/>
      <c r="E649" s="42"/>
    </row>
    <row r="650" spans="1:5" ht="12.75" customHeight="1">
      <c r="A650" s="43"/>
      <c r="B650" s="43"/>
      <c r="C650" s="43"/>
      <c r="D650" s="43"/>
      <c r="E650" s="42"/>
    </row>
    <row r="651" spans="1:5" ht="12.75" customHeight="1">
      <c r="A651" s="43"/>
      <c r="B651" s="43"/>
      <c r="C651" s="43"/>
      <c r="D651" s="43"/>
      <c r="E651" s="42"/>
    </row>
    <row r="652" spans="1:5" ht="12.75" customHeight="1">
      <c r="A652" s="43"/>
      <c r="B652" s="43"/>
      <c r="C652" s="43"/>
      <c r="D652" s="43"/>
      <c r="E652" s="42"/>
    </row>
    <row r="653" spans="1:5" ht="12.75" customHeight="1">
      <c r="A653" s="43"/>
      <c r="B653" s="43"/>
      <c r="C653" s="43"/>
      <c r="D653" s="43"/>
      <c r="E653" s="42"/>
    </row>
    <row r="654" spans="1:5" ht="12.75" customHeight="1">
      <c r="A654" s="43"/>
      <c r="B654" s="43"/>
      <c r="C654" s="43"/>
      <c r="D654" s="43"/>
      <c r="E654" s="42"/>
    </row>
    <row r="655" spans="1:5" ht="12.75" customHeight="1">
      <c r="A655" s="43"/>
      <c r="B655" s="43"/>
      <c r="C655" s="43"/>
      <c r="D655" s="43"/>
      <c r="E655" s="42"/>
    </row>
    <row r="656" spans="1:5" ht="12.75" customHeight="1">
      <c r="A656" s="43"/>
      <c r="B656" s="43"/>
      <c r="C656" s="43"/>
      <c r="D656" s="43"/>
      <c r="E656" s="42"/>
    </row>
    <row r="657" spans="1:5" ht="12.75" customHeight="1">
      <c r="A657" s="43"/>
      <c r="B657" s="43"/>
      <c r="C657" s="43"/>
      <c r="D657" s="43"/>
      <c r="E657" s="42"/>
    </row>
    <row r="658" spans="1:5" ht="12.75" customHeight="1">
      <c r="A658" s="43"/>
      <c r="B658" s="43"/>
      <c r="C658" s="43"/>
      <c r="D658" s="43"/>
      <c r="E658" s="42"/>
    </row>
    <row r="659" spans="1:5" ht="12.75" customHeight="1">
      <c r="A659" s="43"/>
      <c r="B659" s="43"/>
      <c r="C659" s="43"/>
      <c r="D659" s="43"/>
      <c r="E659" s="42"/>
    </row>
    <row r="660" spans="1:5" ht="12.75" customHeight="1">
      <c r="A660" s="43"/>
      <c r="B660" s="43"/>
      <c r="C660" s="43"/>
      <c r="D660" s="43"/>
      <c r="E660" s="42"/>
    </row>
    <row r="661" spans="1:5" ht="12.75" customHeight="1">
      <c r="A661" s="43"/>
      <c r="B661" s="43"/>
      <c r="C661" s="43"/>
      <c r="D661" s="43"/>
      <c r="E661" s="42"/>
    </row>
    <row r="662" spans="1:5" ht="12.75" customHeight="1">
      <c r="A662" s="43"/>
      <c r="B662" s="43"/>
      <c r="C662" s="43"/>
      <c r="D662" s="43"/>
      <c r="E662" s="42"/>
    </row>
    <row r="663" spans="1:5" ht="12.75" customHeight="1">
      <c r="A663" s="43"/>
      <c r="B663" s="43"/>
      <c r="C663" s="43"/>
      <c r="D663" s="43"/>
      <c r="E663" s="42"/>
    </row>
    <row r="664" spans="1:5" ht="12.75" customHeight="1">
      <c r="A664" s="43"/>
      <c r="B664" s="43"/>
      <c r="C664" s="43"/>
      <c r="D664" s="43"/>
      <c r="E664" s="42"/>
    </row>
    <row r="665" spans="1:5" ht="12.75" customHeight="1">
      <c r="A665" s="43"/>
      <c r="B665" s="43"/>
      <c r="C665" s="43"/>
      <c r="D665" s="43"/>
      <c r="E665" s="42"/>
    </row>
    <row r="666" spans="1:5" ht="12.75" customHeight="1">
      <c r="A666" s="43"/>
      <c r="B666" s="43"/>
      <c r="C666" s="43"/>
      <c r="D666" s="43"/>
      <c r="E666" s="42"/>
    </row>
    <row r="667" spans="1:5" ht="12.75" customHeight="1">
      <c r="A667" s="43"/>
      <c r="B667" s="43"/>
      <c r="C667" s="43"/>
      <c r="D667" s="43"/>
      <c r="E667" s="42"/>
    </row>
    <row r="668" spans="1:5" ht="12.75" customHeight="1">
      <c r="A668" s="43"/>
      <c r="B668" s="43"/>
      <c r="C668" s="43"/>
      <c r="D668" s="43"/>
      <c r="E668" s="42"/>
    </row>
    <row r="669" spans="1:5" ht="12.75" customHeight="1">
      <c r="A669" s="43"/>
      <c r="B669" s="43"/>
      <c r="C669" s="43"/>
      <c r="D669" s="43"/>
      <c r="E669" s="42"/>
    </row>
    <row r="670" spans="1:5" ht="12.75" customHeight="1">
      <c r="A670" s="43"/>
      <c r="B670" s="43"/>
      <c r="C670" s="43"/>
      <c r="D670" s="43"/>
      <c r="E670" s="42"/>
    </row>
    <row r="671" spans="1:5" ht="12.75" customHeight="1">
      <c r="A671" s="43"/>
      <c r="B671" s="43"/>
      <c r="C671" s="43"/>
      <c r="D671" s="43"/>
      <c r="E671" s="42"/>
    </row>
    <row r="672" spans="1:5" ht="12.75" customHeight="1">
      <c r="A672" s="43"/>
      <c r="B672" s="43"/>
      <c r="C672" s="43"/>
      <c r="D672" s="43"/>
      <c r="E672" s="42"/>
    </row>
    <row r="673" spans="1:5" ht="12.75" customHeight="1">
      <c r="A673" s="43"/>
      <c r="B673" s="43"/>
      <c r="C673" s="43"/>
      <c r="D673" s="43"/>
      <c r="E673" s="42"/>
    </row>
    <row r="674" spans="1:5" ht="12.75" customHeight="1">
      <c r="A674" s="43"/>
      <c r="B674" s="43"/>
      <c r="C674" s="43"/>
      <c r="D674" s="43"/>
      <c r="E674" s="42"/>
    </row>
    <row r="675" spans="1:5" ht="12.75" customHeight="1">
      <c r="A675" s="43"/>
      <c r="B675" s="43"/>
      <c r="C675" s="43"/>
      <c r="D675" s="43"/>
      <c r="E675" s="42"/>
    </row>
    <row r="676" spans="1:5" ht="12.75" customHeight="1">
      <c r="A676" s="43"/>
      <c r="B676" s="43"/>
      <c r="C676" s="43"/>
      <c r="D676" s="43"/>
      <c r="E676" s="42"/>
    </row>
    <row r="677" spans="1:5" ht="12.75" customHeight="1">
      <c r="A677" s="43"/>
      <c r="B677" s="43"/>
      <c r="C677" s="43"/>
      <c r="D677" s="43"/>
      <c r="E677" s="42"/>
    </row>
    <row r="678" spans="1:5" ht="12.75" customHeight="1">
      <c r="A678" s="43"/>
      <c r="B678" s="43"/>
      <c r="C678" s="43"/>
      <c r="D678" s="43"/>
      <c r="E678" s="42"/>
    </row>
    <row r="679" spans="1:5" ht="12.75" customHeight="1">
      <c r="A679" s="43"/>
      <c r="B679" s="43"/>
      <c r="C679" s="43"/>
      <c r="D679" s="43"/>
      <c r="E679" s="42"/>
    </row>
    <row r="680" spans="1:5" ht="12.75" customHeight="1">
      <c r="A680" s="43"/>
      <c r="B680" s="43"/>
      <c r="C680" s="43"/>
      <c r="D680" s="43"/>
      <c r="E680" s="42"/>
    </row>
    <row r="681" spans="1:5" ht="12.75" customHeight="1">
      <c r="A681" s="43"/>
      <c r="B681" s="43"/>
      <c r="C681" s="43"/>
      <c r="D681" s="43"/>
      <c r="E681" s="42"/>
    </row>
    <row r="682" spans="1:5" ht="12.75" customHeight="1">
      <c r="A682" s="43"/>
      <c r="B682" s="43"/>
      <c r="C682" s="43"/>
      <c r="D682" s="43"/>
      <c r="E682" s="42"/>
    </row>
    <row r="683" spans="1:5" ht="12.75" customHeight="1">
      <c r="A683" s="43"/>
      <c r="B683" s="43"/>
      <c r="C683" s="43"/>
      <c r="D683" s="43"/>
      <c r="E683" s="42"/>
    </row>
    <row r="684" spans="1:5" ht="12.75" customHeight="1">
      <c r="A684" s="43"/>
      <c r="B684" s="43"/>
      <c r="C684" s="43"/>
      <c r="D684" s="43"/>
      <c r="E684" s="42"/>
    </row>
    <row r="685" spans="1:5" ht="12.75" customHeight="1">
      <c r="A685" s="43"/>
      <c r="B685" s="43"/>
      <c r="C685" s="43"/>
      <c r="D685" s="43"/>
      <c r="E685" s="42"/>
    </row>
    <row r="686" spans="1:5" ht="12.75" customHeight="1">
      <c r="A686" s="43"/>
      <c r="B686" s="43"/>
      <c r="C686" s="43"/>
      <c r="D686" s="43"/>
      <c r="E686" s="42"/>
    </row>
    <row r="687" spans="1:5" ht="12.75" customHeight="1">
      <c r="A687" s="43"/>
      <c r="B687" s="43"/>
      <c r="C687" s="43"/>
      <c r="D687" s="43"/>
      <c r="E687" s="42"/>
    </row>
    <row r="688" spans="1:5" ht="12.75" customHeight="1">
      <c r="A688" s="43"/>
      <c r="B688" s="43"/>
      <c r="C688" s="43"/>
      <c r="D688" s="43"/>
      <c r="E688" s="42"/>
    </row>
    <row r="689" spans="1:5" ht="12.75" customHeight="1">
      <c r="A689" s="43"/>
      <c r="B689" s="43"/>
      <c r="C689" s="43"/>
      <c r="D689" s="43"/>
      <c r="E689" s="42"/>
    </row>
    <row r="690" spans="1:5" ht="12.75" customHeight="1">
      <c r="A690" s="43"/>
      <c r="B690" s="43"/>
      <c r="C690" s="43"/>
      <c r="D690" s="43"/>
      <c r="E690" s="42"/>
    </row>
    <row r="691" spans="1:5" ht="12.75" customHeight="1">
      <c r="A691" s="43"/>
      <c r="B691" s="43"/>
      <c r="C691" s="43"/>
      <c r="D691" s="43"/>
      <c r="E691" s="42"/>
    </row>
    <row r="692" spans="1:5" ht="12.75" customHeight="1">
      <c r="A692" s="43"/>
      <c r="B692" s="43"/>
      <c r="C692" s="43"/>
      <c r="D692" s="43"/>
      <c r="E692" s="42"/>
    </row>
    <row r="693" spans="1:5" ht="12.75" customHeight="1">
      <c r="A693" s="43"/>
      <c r="B693" s="43"/>
      <c r="C693" s="43"/>
      <c r="D693" s="43"/>
      <c r="E693" s="42"/>
    </row>
    <row r="694" spans="1:5" ht="12.75" customHeight="1">
      <c r="A694" s="43"/>
      <c r="B694" s="43"/>
      <c r="C694" s="43"/>
      <c r="D694" s="43"/>
      <c r="E694" s="42"/>
    </row>
    <row r="695" spans="1:5" ht="12.75" customHeight="1">
      <c r="A695" s="43"/>
      <c r="B695" s="43"/>
      <c r="C695" s="43"/>
      <c r="D695" s="43"/>
      <c r="E695" s="42"/>
    </row>
    <row r="696" spans="1:5" ht="12.75" customHeight="1">
      <c r="A696" s="43"/>
      <c r="B696" s="43"/>
      <c r="C696" s="43"/>
      <c r="D696" s="43"/>
      <c r="E696" s="42"/>
    </row>
    <row r="697" spans="1:5" ht="12.75" customHeight="1">
      <c r="A697" s="43"/>
      <c r="B697" s="43"/>
      <c r="C697" s="43"/>
      <c r="D697" s="43"/>
      <c r="E697" s="42"/>
    </row>
    <row r="698" spans="1:5" ht="12.75" customHeight="1">
      <c r="A698" s="43"/>
      <c r="B698" s="43"/>
      <c r="C698" s="43"/>
      <c r="D698" s="43"/>
      <c r="E698" s="42"/>
    </row>
    <row r="699" spans="1:5" ht="12.75" customHeight="1">
      <c r="A699" s="43"/>
      <c r="B699" s="43"/>
      <c r="C699" s="43"/>
      <c r="D699" s="43"/>
      <c r="E699" s="42"/>
    </row>
    <row r="700" spans="1:5" ht="12.75" customHeight="1">
      <c r="A700" s="43"/>
      <c r="B700" s="43"/>
      <c r="C700" s="43"/>
      <c r="D700" s="43"/>
      <c r="E700" s="42"/>
    </row>
    <row r="701" spans="1:5" ht="12.75" customHeight="1">
      <c r="A701" s="43"/>
      <c r="B701" s="43"/>
      <c r="C701" s="43"/>
      <c r="D701" s="43"/>
      <c r="E701" s="42"/>
    </row>
    <row r="702" spans="1:5" ht="12.75" customHeight="1">
      <c r="A702" s="43"/>
      <c r="B702" s="43"/>
      <c r="C702" s="43"/>
      <c r="D702" s="43"/>
      <c r="E702" s="42"/>
    </row>
    <row r="703" spans="1:5" ht="12.75" customHeight="1">
      <c r="A703" s="43"/>
      <c r="B703" s="43"/>
      <c r="C703" s="43"/>
      <c r="D703" s="43"/>
      <c r="E703" s="42"/>
    </row>
    <row r="704" spans="1:5" ht="12.75" customHeight="1">
      <c r="A704" s="43"/>
      <c r="B704" s="43"/>
      <c r="C704" s="43"/>
      <c r="D704" s="43"/>
      <c r="E704" s="42"/>
    </row>
    <row r="705" spans="1:5" ht="12.75" customHeight="1">
      <c r="A705" s="43"/>
      <c r="B705" s="43"/>
      <c r="C705" s="43"/>
      <c r="D705" s="43"/>
      <c r="E705" s="42"/>
    </row>
    <row r="706" spans="1:5" ht="12.75" customHeight="1">
      <c r="A706" s="43"/>
      <c r="B706" s="43"/>
      <c r="C706" s="43"/>
      <c r="D706" s="43"/>
      <c r="E706" s="42"/>
    </row>
    <row r="707" spans="1:5" ht="12.75" customHeight="1">
      <c r="A707" s="43"/>
      <c r="B707" s="43"/>
      <c r="C707" s="43"/>
      <c r="D707" s="43"/>
      <c r="E707" s="42"/>
    </row>
    <row r="708" spans="1:5" ht="12.75" customHeight="1">
      <c r="A708" s="43"/>
      <c r="B708" s="43"/>
      <c r="C708" s="43"/>
      <c r="D708" s="43"/>
      <c r="E708" s="42"/>
    </row>
    <row r="709" spans="1:5" ht="12.75" customHeight="1">
      <c r="A709" s="43"/>
      <c r="B709" s="43"/>
      <c r="C709" s="43"/>
      <c r="D709" s="43"/>
      <c r="E709" s="42"/>
    </row>
    <row r="710" spans="1:5" ht="12.75" customHeight="1">
      <c r="A710" s="43"/>
      <c r="B710" s="43"/>
      <c r="C710" s="43"/>
      <c r="D710" s="43"/>
      <c r="E710" s="42"/>
    </row>
    <row r="711" spans="1:5" ht="12.75" customHeight="1">
      <c r="A711" s="43"/>
      <c r="B711" s="43"/>
      <c r="C711" s="43"/>
      <c r="D711" s="43"/>
      <c r="E711" s="42"/>
    </row>
    <row r="712" spans="1:5" ht="12.75" customHeight="1">
      <c r="A712" s="43"/>
      <c r="B712" s="43"/>
      <c r="C712" s="43"/>
      <c r="D712" s="43"/>
      <c r="E712" s="42"/>
    </row>
    <row r="713" spans="1:5" ht="12.75" customHeight="1">
      <c r="A713" s="43"/>
      <c r="B713" s="43"/>
      <c r="C713" s="43"/>
      <c r="D713" s="43"/>
      <c r="E713" s="42"/>
    </row>
    <row r="714" spans="1:5" ht="12.75" customHeight="1">
      <c r="A714" s="43"/>
      <c r="B714" s="43"/>
      <c r="C714" s="43"/>
      <c r="D714" s="43"/>
      <c r="E714" s="42"/>
    </row>
    <row r="715" spans="1:5" ht="12.75" customHeight="1">
      <c r="A715" s="43"/>
      <c r="B715" s="43"/>
      <c r="C715" s="43"/>
      <c r="D715" s="43"/>
      <c r="E715" s="42"/>
    </row>
    <row r="716" spans="1:5" ht="12.75" customHeight="1">
      <c r="A716" s="43"/>
      <c r="B716" s="43"/>
      <c r="C716" s="43"/>
      <c r="D716" s="43"/>
      <c r="E716" s="42"/>
    </row>
    <row r="717" spans="1:5" ht="12.75" customHeight="1">
      <c r="A717" s="43"/>
      <c r="B717" s="43"/>
      <c r="C717" s="43"/>
      <c r="D717" s="43"/>
      <c r="E717" s="42"/>
    </row>
    <row r="718" spans="1:5" ht="12.75" customHeight="1">
      <c r="A718" s="43"/>
      <c r="B718" s="43"/>
      <c r="C718" s="43"/>
      <c r="D718" s="43"/>
      <c r="E718" s="42"/>
    </row>
    <row r="719" spans="1:5" ht="12.75" customHeight="1">
      <c r="A719" s="43"/>
      <c r="B719" s="43"/>
      <c r="C719" s="43"/>
      <c r="D719" s="43"/>
      <c r="E719" s="42"/>
    </row>
    <row r="720" spans="1:5" ht="12.75" customHeight="1">
      <c r="A720" s="43"/>
      <c r="B720" s="43"/>
      <c r="C720" s="43"/>
      <c r="D720" s="43"/>
      <c r="E720" s="42"/>
    </row>
    <row r="721" spans="1:5" ht="12.75" customHeight="1">
      <c r="A721" s="43"/>
      <c r="B721" s="43"/>
      <c r="C721" s="43"/>
      <c r="D721" s="43"/>
      <c r="E721" s="42"/>
    </row>
    <row r="722" spans="1:5" ht="12.75" customHeight="1">
      <c r="A722" s="43"/>
      <c r="B722" s="43"/>
      <c r="C722" s="43"/>
      <c r="D722" s="43"/>
      <c r="E722" s="42"/>
    </row>
    <row r="723" spans="1:5" ht="12.75" customHeight="1">
      <c r="A723" s="43"/>
      <c r="B723" s="43"/>
      <c r="C723" s="43"/>
      <c r="D723" s="43"/>
      <c r="E723" s="42"/>
    </row>
    <row r="724" spans="1:5" ht="12.75" customHeight="1">
      <c r="A724" s="43"/>
      <c r="B724" s="43"/>
      <c r="C724" s="43"/>
      <c r="D724" s="43"/>
      <c r="E724" s="42"/>
    </row>
    <row r="725" spans="1:5" ht="12.75" customHeight="1">
      <c r="A725" s="43"/>
      <c r="B725" s="43"/>
      <c r="C725" s="43"/>
      <c r="D725" s="43"/>
      <c r="E725" s="42"/>
    </row>
    <row r="726" spans="1:5" ht="12.75" customHeight="1">
      <c r="A726" s="43"/>
      <c r="B726" s="43"/>
      <c r="C726" s="43"/>
      <c r="D726" s="43"/>
      <c r="E726" s="42"/>
    </row>
    <row r="727" spans="1:5" ht="12.75" customHeight="1">
      <c r="A727" s="43"/>
      <c r="B727" s="43"/>
      <c r="C727" s="43"/>
      <c r="D727" s="43"/>
      <c r="E727" s="42"/>
    </row>
    <row r="728" spans="1:5" ht="12.75" customHeight="1">
      <c r="A728" s="43"/>
      <c r="B728" s="43"/>
      <c r="C728" s="43"/>
      <c r="D728" s="43"/>
      <c r="E728" s="42"/>
    </row>
    <row r="729" spans="1:5" ht="12.75" customHeight="1">
      <c r="A729" s="43"/>
      <c r="B729" s="43"/>
      <c r="C729" s="43"/>
      <c r="D729" s="43"/>
      <c r="E729" s="42"/>
    </row>
    <row r="730" spans="1:5" ht="12.75" customHeight="1">
      <c r="A730" s="43"/>
      <c r="B730" s="43"/>
      <c r="C730" s="43"/>
      <c r="D730" s="43"/>
      <c r="E730" s="42"/>
    </row>
    <row r="731" spans="1:5" ht="12.75" customHeight="1">
      <c r="A731" s="43"/>
      <c r="B731" s="43"/>
      <c r="C731" s="43"/>
      <c r="D731" s="43"/>
      <c r="E731" s="42"/>
    </row>
    <row r="732" spans="1:5" ht="12.75" customHeight="1">
      <c r="A732" s="43"/>
      <c r="B732" s="43"/>
      <c r="C732" s="43"/>
      <c r="D732" s="43"/>
      <c r="E732" s="42"/>
    </row>
    <row r="733" spans="1:5" ht="12.75" customHeight="1">
      <c r="A733" s="43"/>
      <c r="B733" s="43"/>
      <c r="C733" s="43"/>
      <c r="D733" s="43"/>
      <c r="E733" s="42"/>
    </row>
    <row r="734" spans="1:5" ht="12.75" customHeight="1">
      <c r="A734" s="43"/>
      <c r="B734" s="43"/>
      <c r="C734" s="43"/>
      <c r="D734" s="43"/>
      <c r="E734" s="42"/>
    </row>
    <row r="735" spans="1:5" ht="12.75" customHeight="1">
      <c r="A735" s="43"/>
      <c r="B735" s="43"/>
      <c r="C735" s="43"/>
      <c r="D735" s="43"/>
      <c r="E735" s="42"/>
    </row>
    <row r="736" spans="1:5" ht="12.75" customHeight="1">
      <c r="A736" s="43"/>
      <c r="B736" s="43"/>
      <c r="C736" s="43"/>
      <c r="D736" s="43"/>
      <c r="E736" s="42"/>
    </row>
    <row r="737" spans="1:5" ht="12.75" customHeight="1">
      <c r="A737" s="43"/>
      <c r="B737" s="43"/>
      <c r="C737" s="43"/>
      <c r="D737" s="43"/>
      <c r="E737" s="42"/>
    </row>
    <row r="738" spans="1:5" ht="12.75" customHeight="1">
      <c r="A738" s="43"/>
      <c r="B738" s="43"/>
      <c r="C738" s="43"/>
      <c r="D738" s="43"/>
      <c r="E738" s="42"/>
    </row>
    <row r="739" spans="1:5" ht="12.75" customHeight="1">
      <c r="A739" s="43"/>
      <c r="B739" s="43"/>
      <c r="C739" s="43"/>
      <c r="D739" s="43"/>
      <c r="E739" s="42"/>
    </row>
    <row r="740" spans="1:5" ht="12.75" customHeight="1">
      <c r="A740" s="43"/>
      <c r="B740" s="43"/>
      <c r="C740" s="43"/>
      <c r="D740" s="43"/>
      <c r="E740" s="42"/>
    </row>
    <row r="741" spans="1:5" ht="12.75" customHeight="1">
      <c r="A741" s="43"/>
      <c r="B741" s="43"/>
      <c r="C741" s="43"/>
      <c r="D741" s="43"/>
      <c r="E741" s="42"/>
    </row>
    <row r="742" spans="1:5" ht="12.75" customHeight="1">
      <c r="A742" s="43"/>
      <c r="B742" s="43"/>
      <c r="C742" s="43"/>
      <c r="D742" s="43"/>
      <c r="E742" s="42"/>
    </row>
    <row r="743" spans="1:5" ht="12.75" customHeight="1">
      <c r="A743" s="43"/>
      <c r="B743" s="43"/>
      <c r="C743" s="43"/>
      <c r="D743" s="43"/>
      <c r="E743" s="42"/>
    </row>
    <row r="744" spans="1:5" ht="12.75" customHeight="1">
      <c r="A744" s="43"/>
      <c r="B744" s="43"/>
      <c r="C744" s="43"/>
      <c r="D744" s="43"/>
      <c r="E744" s="42"/>
    </row>
    <row r="745" spans="1:5" ht="12.75" customHeight="1">
      <c r="A745" s="43"/>
      <c r="B745" s="43"/>
      <c r="C745" s="43"/>
      <c r="D745" s="43"/>
      <c r="E745" s="42"/>
    </row>
    <row r="746" spans="1:5" ht="12.75" customHeight="1">
      <c r="A746" s="43"/>
      <c r="B746" s="43"/>
      <c r="C746" s="43"/>
      <c r="D746" s="43"/>
      <c r="E746" s="42"/>
    </row>
    <row r="747" spans="1:5" ht="12.75" customHeight="1">
      <c r="A747" s="43"/>
      <c r="B747" s="43"/>
      <c r="C747" s="43"/>
      <c r="D747" s="43"/>
      <c r="E747" s="42"/>
    </row>
    <row r="748" spans="1:5" ht="12.75" customHeight="1">
      <c r="A748" s="43"/>
      <c r="B748" s="43"/>
      <c r="C748" s="43"/>
      <c r="D748" s="43"/>
      <c r="E748" s="42"/>
    </row>
    <row r="749" spans="1:5" ht="12.75" customHeight="1">
      <c r="A749" s="43"/>
      <c r="B749" s="43"/>
      <c r="C749" s="43"/>
      <c r="D749" s="43"/>
      <c r="E749" s="42"/>
    </row>
    <row r="750" spans="1:5" ht="12.75" customHeight="1">
      <c r="A750" s="43"/>
      <c r="B750" s="43"/>
      <c r="C750" s="43"/>
      <c r="D750" s="43"/>
      <c r="E750" s="42"/>
    </row>
    <row r="751" spans="1:5" ht="12.75" customHeight="1">
      <c r="A751" s="43"/>
      <c r="B751" s="43"/>
      <c r="C751" s="43"/>
      <c r="D751" s="43"/>
      <c r="E751" s="42"/>
    </row>
    <row r="752" spans="1:5" ht="12.75" customHeight="1">
      <c r="A752" s="43"/>
      <c r="B752" s="43"/>
      <c r="C752" s="43"/>
      <c r="D752" s="43"/>
      <c r="E752" s="42"/>
    </row>
    <row r="753" spans="1:5" ht="12.75" customHeight="1">
      <c r="A753" s="43"/>
      <c r="B753" s="43"/>
      <c r="C753" s="43"/>
      <c r="D753" s="43"/>
      <c r="E753" s="42"/>
    </row>
    <row r="754" spans="1:5" ht="12.75" customHeight="1">
      <c r="A754" s="43"/>
      <c r="B754" s="43"/>
      <c r="C754" s="43"/>
      <c r="D754" s="43"/>
      <c r="E754" s="42"/>
    </row>
    <row r="755" spans="1:5" ht="12.75" customHeight="1">
      <c r="A755" s="43"/>
      <c r="B755" s="43"/>
      <c r="C755" s="43"/>
      <c r="D755" s="43"/>
      <c r="E755" s="42"/>
    </row>
    <row r="756" spans="1:5" ht="12.75" customHeight="1">
      <c r="A756" s="43"/>
      <c r="B756" s="43"/>
      <c r="C756" s="43"/>
      <c r="D756" s="43"/>
      <c r="E756" s="42"/>
    </row>
    <row r="757" spans="1:5" ht="12.75" customHeight="1">
      <c r="A757" s="43"/>
      <c r="B757" s="43"/>
      <c r="C757" s="43"/>
      <c r="D757" s="43"/>
      <c r="E757" s="42"/>
    </row>
    <row r="758" spans="1:5" ht="12.75" customHeight="1">
      <c r="A758" s="43"/>
      <c r="B758" s="43"/>
      <c r="C758" s="43"/>
      <c r="D758" s="43"/>
      <c r="E758" s="42"/>
    </row>
    <row r="759" spans="1:5" ht="12.75" customHeight="1">
      <c r="A759" s="43"/>
      <c r="B759" s="43"/>
      <c r="C759" s="43"/>
      <c r="D759" s="43"/>
      <c r="E759" s="42"/>
    </row>
    <row r="760" spans="1:5" ht="12.75" customHeight="1">
      <c r="A760" s="43"/>
      <c r="B760" s="43"/>
      <c r="C760" s="43"/>
      <c r="D760" s="43"/>
      <c r="E760" s="42"/>
    </row>
    <row r="761" spans="1:5" ht="12.75" customHeight="1">
      <c r="A761" s="43"/>
      <c r="B761" s="43"/>
      <c r="C761" s="43"/>
      <c r="D761" s="43"/>
      <c r="E761" s="42"/>
    </row>
    <row r="762" spans="1:5" ht="12.75" customHeight="1">
      <c r="A762" s="43"/>
      <c r="B762" s="43"/>
      <c r="C762" s="43"/>
      <c r="D762" s="43"/>
      <c r="E762" s="42"/>
    </row>
    <row r="763" spans="1:5" ht="12.75" customHeight="1">
      <c r="A763" s="43"/>
      <c r="B763" s="43"/>
      <c r="C763" s="43"/>
      <c r="D763" s="43"/>
      <c r="E763" s="42"/>
    </row>
    <row r="764" spans="1:5" ht="12.75" customHeight="1">
      <c r="A764" s="43"/>
      <c r="B764" s="43"/>
      <c r="C764" s="43"/>
      <c r="D764" s="43"/>
      <c r="E764" s="42"/>
    </row>
    <row r="765" spans="1:5" ht="12.75" customHeight="1">
      <c r="A765" s="43"/>
      <c r="B765" s="43"/>
      <c r="C765" s="43"/>
      <c r="D765" s="43"/>
      <c r="E765" s="42"/>
    </row>
    <row r="766" spans="1:5" ht="12.75" customHeight="1">
      <c r="A766" s="43"/>
      <c r="B766" s="43"/>
      <c r="C766" s="43"/>
      <c r="D766" s="43"/>
      <c r="E766" s="42"/>
    </row>
    <row r="767" spans="1:5" ht="12.75" customHeight="1">
      <c r="A767" s="43"/>
      <c r="B767" s="43"/>
      <c r="C767" s="43"/>
      <c r="D767" s="43"/>
      <c r="E767" s="42"/>
    </row>
    <row r="768" spans="1:5" ht="12.75" customHeight="1">
      <c r="A768" s="43"/>
      <c r="B768" s="43"/>
      <c r="C768" s="43"/>
      <c r="D768" s="43"/>
      <c r="E768" s="42"/>
    </row>
    <row r="769" spans="1:5" ht="12.75" customHeight="1">
      <c r="A769" s="43"/>
      <c r="B769" s="43"/>
      <c r="C769" s="43"/>
      <c r="D769" s="43"/>
      <c r="E769" s="42"/>
    </row>
    <row r="770" spans="1:5" ht="12.75" customHeight="1">
      <c r="A770" s="43"/>
      <c r="B770" s="43"/>
      <c r="C770" s="43"/>
      <c r="D770" s="43"/>
      <c r="E770" s="42"/>
    </row>
    <row r="771" spans="1:5" ht="12.75" customHeight="1">
      <c r="A771" s="43"/>
      <c r="B771" s="43"/>
      <c r="C771" s="43"/>
      <c r="D771" s="43"/>
      <c r="E771" s="42"/>
    </row>
    <row r="772" spans="1:5" ht="12.75" customHeight="1">
      <c r="A772" s="43"/>
      <c r="B772" s="43"/>
      <c r="C772" s="43"/>
      <c r="D772" s="43"/>
      <c r="E772" s="42"/>
    </row>
    <row r="773" spans="1:5" ht="12.75" customHeight="1">
      <c r="A773" s="43"/>
      <c r="B773" s="43"/>
      <c r="C773" s="43"/>
      <c r="D773" s="43"/>
      <c r="E773" s="42"/>
    </row>
    <row r="774" spans="1:5" ht="12.75" customHeight="1">
      <c r="A774" s="43"/>
      <c r="B774" s="43"/>
      <c r="C774" s="43"/>
      <c r="D774" s="43"/>
      <c r="E774" s="42"/>
    </row>
    <row r="775" spans="1:5" ht="12.75" customHeight="1">
      <c r="A775" s="43"/>
      <c r="B775" s="43"/>
      <c r="C775" s="43"/>
      <c r="D775" s="43"/>
      <c r="E775" s="42"/>
    </row>
    <row r="776" spans="1:5" ht="12.75" customHeight="1">
      <c r="A776" s="43"/>
      <c r="B776" s="43"/>
      <c r="C776" s="43"/>
      <c r="D776" s="43"/>
      <c r="E776" s="42"/>
    </row>
    <row r="777" spans="1:5" ht="12.75" customHeight="1">
      <c r="A777" s="43"/>
      <c r="B777" s="43"/>
      <c r="C777" s="43"/>
      <c r="D777" s="43"/>
      <c r="E777" s="42"/>
    </row>
    <row r="778" spans="1:5" ht="12.75" customHeight="1">
      <c r="A778" s="43"/>
      <c r="B778" s="43"/>
      <c r="C778" s="43"/>
      <c r="D778" s="43"/>
      <c r="E778" s="42"/>
    </row>
    <row r="779" spans="1:5" ht="12.75" customHeight="1">
      <c r="A779" s="43"/>
      <c r="B779" s="43"/>
      <c r="C779" s="43"/>
      <c r="D779" s="43"/>
      <c r="E779" s="42"/>
    </row>
    <row r="780" spans="1:5" ht="12.75" customHeight="1">
      <c r="A780" s="43"/>
      <c r="B780" s="43"/>
      <c r="C780" s="43"/>
      <c r="D780" s="43"/>
      <c r="E780" s="42"/>
    </row>
    <row r="781" spans="1:5" ht="12.75" customHeight="1">
      <c r="A781" s="43"/>
      <c r="B781" s="43"/>
      <c r="C781" s="43"/>
      <c r="D781" s="43"/>
      <c r="E781" s="42"/>
    </row>
    <row r="782" spans="1:5" ht="12.75" customHeight="1">
      <c r="A782" s="43"/>
      <c r="B782" s="43"/>
      <c r="C782" s="43"/>
      <c r="D782" s="43"/>
      <c r="E782" s="42"/>
    </row>
    <row r="783" spans="1:5" ht="12.75" customHeight="1">
      <c r="A783" s="43"/>
      <c r="B783" s="43"/>
      <c r="C783" s="43"/>
      <c r="D783" s="43"/>
      <c r="E783" s="42"/>
    </row>
    <row r="784" spans="1:5" ht="12.75" customHeight="1">
      <c r="A784" s="43"/>
      <c r="B784" s="43"/>
      <c r="C784" s="43"/>
      <c r="D784" s="43"/>
      <c r="E784" s="42"/>
    </row>
    <row r="785" spans="1:5" ht="12.75" customHeight="1">
      <c r="A785" s="43"/>
      <c r="B785" s="43"/>
      <c r="C785" s="43"/>
      <c r="D785" s="43"/>
      <c r="E785" s="42"/>
    </row>
    <row r="786" spans="1:5" ht="12.75" customHeight="1">
      <c r="A786" s="43"/>
      <c r="B786" s="43"/>
      <c r="C786" s="43"/>
      <c r="D786" s="43"/>
      <c r="E786" s="42"/>
    </row>
    <row r="787" spans="1:5" ht="12.75" customHeight="1">
      <c r="A787" s="43"/>
      <c r="B787" s="43"/>
      <c r="C787" s="43"/>
      <c r="D787" s="43"/>
      <c r="E787" s="42"/>
    </row>
    <row r="788" spans="1:5" ht="12.75" customHeight="1">
      <c r="A788" s="43"/>
      <c r="B788" s="43"/>
      <c r="C788" s="43"/>
      <c r="D788" s="43"/>
      <c r="E788" s="42"/>
    </row>
    <row r="789" spans="1:5" ht="12.75" customHeight="1">
      <c r="A789" s="43"/>
      <c r="B789" s="43"/>
      <c r="C789" s="43"/>
      <c r="D789" s="43"/>
      <c r="E789" s="42"/>
    </row>
    <row r="790" spans="1:5" ht="12.75" customHeight="1">
      <c r="A790" s="43"/>
      <c r="B790" s="43"/>
      <c r="C790" s="43"/>
      <c r="D790" s="43"/>
      <c r="E790" s="42"/>
    </row>
    <row r="791" spans="1:5" ht="12.75" customHeight="1">
      <c r="A791" s="43"/>
      <c r="B791" s="43"/>
      <c r="C791" s="43"/>
      <c r="D791" s="43"/>
      <c r="E791" s="42"/>
    </row>
    <row r="792" spans="1:5" ht="12.75" customHeight="1">
      <c r="A792" s="43"/>
      <c r="B792" s="43"/>
      <c r="C792" s="43"/>
      <c r="D792" s="43"/>
      <c r="E792" s="42"/>
    </row>
    <row r="793" spans="1:5" ht="12.75" customHeight="1">
      <c r="A793" s="43"/>
      <c r="B793" s="43"/>
      <c r="C793" s="43"/>
      <c r="D793" s="43"/>
      <c r="E793" s="42"/>
    </row>
    <row r="794" spans="1:5" ht="12.75" customHeight="1">
      <c r="A794" s="43"/>
      <c r="B794" s="43"/>
      <c r="C794" s="43"/>
      <c r="D794" s="43"/>
      <c r="E794" s="42"/>
    </row>
    <row r="795" spans="1:5" ht="12.75" customHeight="1">
      <c r="A795" s="43"/>
      <c r="B795" s="43"/>
      <c r="C795" s="43"/>
      <c r="D795" s="43"/>
      <c r="E795" s="42"/>
    </row>
    <row r="796" spans="1:5" ht="12.75" customHeight="1">
      <c r="A796" s="43"/>
      <c r="B796" s="43"/>
      <c r="C796" s="43"/>
      <c r="D796" s="43"/>
      <c r="E796" s="42"/>
    </row>
    <row r="797" spans="1:5" ht="12.75" customHeight="1">
      <c r="A797" s="43"/>
      <c r="B797" s="43"/>
      <c r="C797" s="43"/>
      <c r="D797" s="43"/>
      <c r="E797" s="42"/>
    </row>
    <row r="798" spans="1:5" ht="12.75" customHeight="1">
      <c r="A798" s="43"/>
      <c r="B798" s="43"/>
      <c r="C798" s="43"/>
      <c r="D798" s="43"/>
      <c r="E798" s="42"/>
    </row>
    <row r="799" spans="1:5" ht="12.75" customHeight="1">
      <c r="A799" s="43"/>
      <c r="B799" s="43"/>
      <c r="C799" s="43"/>
      <c r="D799" s="43"/>
      <c r="E799" s="42"/>
    </row>
    <row r="800" spans="1:5" ht="12.75" customHeight="1">
      <c r="A800" s="43"/>
      <c r="B800" s="43"/>
      <c r="C800" s="43"/>
      <c r="D800" s="43"/>
      <c r="E800" s="42"/>
    </row>
    <row r="801" spans="1:5" ht="12.75" customHeight="1">
      <c r="A801" s="43"/>
      <c r="B801" s="43"/>
      <c r="C801" s="43"/>
      <c r="D801" s="43"/>
      <c r="E801" s="42"/>
    </row>
    <row r="802" spans="1:5" ht="12.75" customHeight="1">
      <c r="A802" s="43"/>
      <c r="B802" s="43"/>
      <c r="C802" s="43"/>
      <c r="D802" s="43"/>
      <c r="E802" s="42"/>
    </row>
    <row r="803" spans="1:5" ht="12.75" customHeight="1">
      <c r="A803" s="43"/>
      <c r="B803" s="43"/>
      <c r="C803" s="43"/>
      <c r="D803" s="43"/>
      <c r="E803" s="42"/>
    </row>
    <row r="804" spans="1:5" ht="12.75" customHeight="1">
      <c r="A804" s="43"/>
      <c r="B804" s="43"/>
      <c r="C804" s="43"/>
      <c r="D804" s="43"/>
      <c r="E804" s="42"/>
    </row>
    <row r="805" spans="1:5" ht="12.75" customHeight="1">
      <c r="A805" s="43"/>
      <c r="B805" s="43"/>
      <c r="C805" s="43"/>
      <c r="D805" s="43"/>
      <c r="E805" s="42"/>
    </row>
    <row r="806" spans="1:5" ht="12.75" customHeight="1">
      <c r="A806" s="43"/>
      <c r="B806" s="43"/>
      <c r="C806" s="43"/>
      <c r="D806" s="43"/>
      <c r="E806" s="42"/>
    </row>
    <row r="807" spans="1:5" ht="12.75" customHeight="1">
      <c r="A807" s="43"/>
      <c r="B807" s="43"/>
      <c r="C807" s="43"/>
      <c r="D807" s="43"/>
      <c r="E807" s="42"/>
    </row>
    <row r="808" spans="1:5" ht="12.75" customHeight="1">
      <c r="A808" s="43"/>
      <c r="B808" s="43"/>
      <c r="C808" s="43"/>
      <c r="D808" s="43"/>
      <c r="E808" s="42"/>
    </row>
    <row r="809" spans="1:5" ht="12.75" customHeight="1">
      <c r="A809" s="43"/>
      <c r="B809" s="43"/>
      <c r="C809" s="43"/>
      <c r="D809" s="43"/>
      <c r="E809" s="42"/>
    </row>
    <row r="810" spans="1:5" ht="12.75" customHeight="1">
      <c r="A810" s="43"/>
      <c r="B810" s="43"/>
      <c r="C810" s="43"/>
      <c r="D810" s="43"/>
      <c r="E810" s="42"/>
    </row>
    <row r="811" spans="1:5" ht="12.75" customHeight="1">
      <c r="A811" s="43"/>
      <c r="B811" s="43"/>
      <c r="C811" s="43"/>
      <c r="D811" s="43"/>
      <c r="E811" s="42"/>
    </row>
    <row r="812" spans="1:5" ht="12.75" customHeight="1">
      <c r="A812" s="43"/>
      <c r="B812" s="43"/>
      <c r="C812" s="43"/>
      <c r="D812" s="43"/>
      <c r="E812" s="42"/>
    </row>
    <row r="813" spans="1:5" ht="12.75" customHeight="1">
      <c r="A813" s="43"/>
      <c r="B813" s="43"/>
      <c r="C813" s="43"/>
      <c r="D813" s="43"/>
      <c r="E813" s="42"/>
    </row>
    <row r="814" spans="1:5" ht="12.75" customHeight="1">
      <c r="A814" s="43"/>
      <c r="B814" s="43"/>
      <c r="C814" s="43"/>
      <c r="D814" s="43"/>
      <c r="E814" s="42"/>
    </row>
    <row r="815" spans="1:5" ht="12.75" customHeight="1">
      <c r="A815" s="43"/>
      <c r="B815" s="43"/>
      <c r="C815" s="43"/>
      <c r="D815" s="43"/>
      <c r="E815" s="42"/>
    </row>
    <row r="816" spans="1:5" ht="12.75" customHeight="1">
      <c r="A816" s="43"/>
      <c r="B816" s="43"/>
      <c r="C816" s="43"/>
      <c r="D816" s="43"/>
      <c r="E816" s="42"/>
    </row>
    <row r="817" spans="1:5" ht="12.75" customHeight="1">
      <c r="A817" s="43"/>
      <c r="B817" s="43"/>
      <c r="C817" s="43"/>
      <c r="D817" s="43"/>
      <c r="E817" s="42"/>
    </row>
    <row r="818" spans="1:5" ht="12.75" customHeight="1">
      <c r="A818" s="43"/>
      <c r="B818" s="43"/>
      <c r="C818" s="43"/>
      <c r="D818" s="43"/>
      <c r="E818" s="42"/>
    </row>
    <row r="819" spans="1:5" ht="12.75" customHeight="1">
      <c r="A819" s="43"/>
      <c r="B819" s="43"/>
      <c r="C819" s="43"/>
      <c r="D819" s="43"/>
      <c r="E819" s="42"/>
    </row>
    <row r="820" spans="1:5" ht="12.75" customHeight="1">
      <c r="A820" s="43"/>
      <c r="B820" s="43"/>
      <c r="C820" s="43"/>
      <c r="D820" s="43"/>
      <c r="E820" s="42"/>
    </row>
    <row r="821" spans="1:5" ht="12.75" customHeight="1">
      <c r="A821" s="43"/>
      <c r="B821" s="43"/>
      <c r="C821" s="43"/>
      <c r="D821" s="43"/>
      <c r="E821" s="42"/>
    </row>
    <row r="822" spans="1:5" ht="12.75" customHeight="1">
      <c r="A822" s="43"/>
      <c r="B822" s="43"/>
      <c r="C822" s="43"/>
      <c r="D822" s="43"/>
      <c r="E822" s="42"/>
    </row>
    <row r="823" spans="1:5" ht="12.75" customHeight="1">
      <c r="A823" s="43"/>
      <c r="B823" s="43"/>
      <c r="C823" s="43"/>
      <c r="D823" s="43"/>
      <c r="E823" s="42"/>
    </row>
    <row r="824" spans="1:5" ht="12.75" customHeight="1">
      <c r="A824" s="43"/>
      <c r="B824" s="43"/>
      <c r="C824" s="43"/>
      <c r="D824" s="43"/>
      <c r="E824" s="42"/>
    </row>
    <row r="825" spans="1:5" ht="12.75" customHeight="1">
      <c r="A825" s="43"/>
      <c r="B825" s="43"/>
      <c r="C825" s="43"/>
      <c r="D825" s="43"/>
      <c r="E825" s="42"/>
    </row>
    <row r="826" spans="1:5" ht="12.75" customHeight="1">
      <c r="A826" s="43"/>
      <c r="B826" s="43"/>
      <c r="C826" s="43"/>
      <c r="D826" s="43"/>
      <c r="E826" s="42"/>
    </row>
    <row r="827" spans="1:5" ht="12.75" customHeight="1">
      <c r="A827" s="43"/>
      <c r="B827" s="43"/>
      <c r="C827" s="43"/>
      <c r="D827" s="43"/>
      <c r="E827" s="42"/>
    </row>
    <row r="828" spans="1:5" ht="12.75" customHeight="1">
      <c r="A828" s="43"/>
      <c r="B828" s="43"/>
      <c r="C828" s="43"/>
      <c r="D828" s="43"/>
      <c r="E828" s="42"/>
    </row>
    <row r="829" spans="1:5" ht="12.75" customHeight="1">
      <c r="A829" s="43"/>
      <c r="B829" s="43"/>
      <c r="C829" s="43"/>
      <c r="D829" s="43"/>
      <c r="E829" s="42"/>
    </row>
    <row r="830" spans="1:5" ht="12.75" customHeight="1">
      <c r="A830" s="43"/>
      <c r="B830" s="43"/>
      <c r="C830" s="43"/>
      <c r="D830" s="43"/>
      <c r="E830" s="42"/>
    </row>
    <row r="831" spans="1:5" ht="12.75" customHeight="1">
      <c r="A831" s="43"/>
      <c r="B831" s="43"/>
      <c r="C831" s="43"/>
      <c r="D831" s="43"/>
      <c r="E831" s="42"/>
    </row>
    <row r="832" spans="1:5" ht="12.75" customHeight="1">
      <c r="A832" s="43"/>
      <c r="B832" s="43"/>
      <c r="C832" s="43"/>
      <c r="D832" s="43"/>
      <c r="E832" s="42"/>
    </row>
    <row r="833" spans="1:5" ht="12.75" customHeight="1">
      <c r="A833" s="43"/>
      <c r="B833" s="43"/>
      <c r="C833" s="43"/>
      <c r="D833" s="43"/>
      <c r="E833" s="42"/>
    </row>
    <row r="834" spans="1:5" ht="12.75" customHeight="1">
      <c r="A834" s="43"/>
      <c r="B834" s="43"/>
      <c r="C834" s="43"/>
      <c r="D834" s="43"/>
      <c r="E834" s="42"/>
    </row>
    <row r="835" spans="1:5" ht="12.75" customHeight="1">
      <c r="A835" s="43"/>
      <c r="B835" s="43"/>
      <c r="C835" s="43"/>
      <c r="D835" s="43"/>
      <c r="E835" s="42"/>
    </row>
    <row r="836" spans="1:5" ht="12.75" customHeight="1">
      <c r="A836" s="43"/>
      <c r="B836" s="43"/>
      <c r="C836" s="43"/>
      <c r="D836" s="43"/>
      <c r="E836" s="42"/>
    </row>
    <row r="837" spans="1:5" ht="12.75" customHeight="1">
      <c r="A837" s="43"/>
      <c r="B837" s="43"/>
      <c r="C837" s="43"/>
      <c r="D837" s="43"/>
      <c r="E837" s="42"/>
    </row>
    <row r="838" spans="1:5" ht="12.75" customHeight="1">
      <c r="A838" s="43"/>
      <c r="B838" s="43"/>
      <c r="C838" s="43"/>
      <c r="D838" s="43"/>
      <c r="E838" s="42"/>
    </row>
    <row r="839" spans="1:5" ht="12.75" customHeight="1">
      <c r="A839" s="43"/>
      <c r="B839" s="43"/>
      <c r="C839" s="43"/>
      <c r="D839" s="43"/>
      <c r="E839" s="42"/>
    </row>
    <row r="840" spans="1:5" ht="12.75" customHeight="1">
      <c r="A840" s="43"/>
      <c r="B840" s="43"/>
      <c r="C840" s="43"/>
      <c r="D840" s="43"/>
      <c r="E840" s="42"/>
    </row>
    <row r="841" spans="1:5" ht="12.75" customHeight="1">
      <c r="A841" s="43"/>
      <c r="B841" s="43"/>
      <c r="C841" s="43"/>
      <c r="D841" s="43"/>
      <c r="E841" s="42"/>
    </row>
    <row r="842" spans="1:5" ht="12.75" customHeight="1">
      <c r="A842" s="43"/>
      <c r="B842" s="43"/>
      <c r="C842" s="43"/>
      <c r="D842" s="43"/>
      <c r="E842" s="42"/>
    </row>
    <row r="843" spans="1:5" ht="12.75" customHeight="1">
      <c r="A843" s="43"/>
      <c r="B843" s="43"/>
      <c r="C843" s="43"/>
      <c r="D843" s="43"/>
      <c r="E843" s="42"/>
    </row>
    <row r="844" spans="1:5" ht="12.75" customHeight="1">
      <c r="A844" s="43"/>
      <c r="B844" s="43"/>
      <c r="C844" s="43"/>
      <c r="D844" s="43"/>
      <c r="E844" s="42"/>
    </row>
    <row r="845" spans="1:5" ht="12.75" customHeight="1">
      <c r="A845" s="43"/>
      <c r="B845" s="43"/>
      <c r="C845" s="43"/>
      <c r="D845" s="43"/>
      <c r="E845" s="42"/>
    </row>
    <row r="846" spans="1:5" ht="12.75" customHeight="1">
      <c r="A846" s="43"/>
      <c r="B846" s="43"/>
      <c r="C846" s="43"/>
      <c r="D846" s="43"/>
      <c r="E846" s="42"/>
    </row>
    <row r="847" spans="1:5" ht="12.75" customHeight="1">
      <c r="A847" s="43"/>
      <c r="B847" s="43"/>
      <c r="C847" s="43"/>
      <c r="D847" s="43"/>
      <c r="E847" s="42"/>
    </row>
    <row r="848" spans="1:5" ht="12.75" customHeight="1">
      <c r="A848" s="43"/>
      <c r="B848" s="43"/>
      <c r="C848" s="43"/>
      <c r="D848" s="43"/>
      <c r="E848" s="42"/>
    </row>
    <row r="849" spans="1:5" ht="12.75" customHeight="1">
      <c r="A849" s="43"/>
      <c r="B849" s="43"/>
      <c r="C849" s="43"/>
      <c r="D849" s="43"/>
      <c r="E849" s="42"/>
    </row>
    <row r="850" spans="1:5" ht="12.75" customHeight="1">
      <c r="A850" s="43"/>
      <c r="B850" s="43"/>
      <c r="C850" s="43"/>
      <c r="D850" s="43"/>
      <c r="E850" s="42"/>
    </row>
    <row r="851" spans="1:5" ht="12.75" customHeight="1">
      <c r="A851" s="43"/>
      <c r="B851" s="43"/>
      <c r="C851" s="43"/>
      <c r="D851" s="43"/>
      <c r="E851" s="42"/>
    </row>
    <row r="852" spans="1:5" ht="12.75" customHeight="1">
      <c r="A852" s="43"/>
      <c r="B852" s="43"/>
      <c r="C852" s="43"/>
      <c r="D852" s="43"/>
      <c r="E852" s="42"/>
    </row>
    <row r="853" spans="1:5" ht="12.75" customHeight="1">
      <c r="A853" s="43"/>
      <c r="B853" s="43"/>
      <c r="C853" s="43"/>
      <c r="D853" s="43"/>
      <c r="E853" s="42"/>
    </row>
    <row r="854" spans="1:5" ht="12.75" customHeight="1">
      <c r="A854" s="43"/>
      <c r="B854" s="43"/>
      <c r="C854" s="43"/>
      <c r="D854" s="43"/>
      <c r="E854" s="42"/>
    </row>
    <row r="855" spans="1:5" ht="12.75" customHeight="1">
      <c r="A855" s="43"/>
      <c r="B855" s="43"/>
      <c r="C855" s="43"/>
      <c r="D855" s="43"/>
      <c r="E855" s="42"/>
    </row>
    <row r="856" spans="1:5" ht="12.75" customHeight="1">
      <c r="A856" s="43"/>
      <c r="B856" s="43"/>
      <c r="C856" s="43"/>
      <c r="D856" s="43"/>
      <c r="E856" s="42"/>
    </row>
    <row r="857" spans="1:5" ht="12.75" customHeight="1">
      <c r="A857" s="43"/>
      <c r="B857" s="43"/>
      <c r="C857" s="43"/>
      <c r="D857" s="43"/>
      <c r="E857" s="42"/>
    </row>
    <row r="858" spans="1:5" ht="12.75" customHeight="1">
      <c r="A858" s="43"/>
      <c r="B858" s="43"/>
      <c r="C858" s="43"/>
      <c r="D858" s="43"/>
      <c r="E858" s="42"/>
    </row>
    <row r="859" spans="1:5" ht="12.75" customHeight="1">
      <c r="A859" s="43"/>
      <c r="B859" s="43"/>
      <c r="C859" s="43"/>
      <c r="D859" s="43"/>
      <c r="E859" s="42"/>
    </row>
    <row r="860" spans="1:5" ht="12.75" customHeight="1">
      <c r="A860" s="43"/>
      <c r="B860" s="43"/>
      <c r="C860" s="43"/>
      <c r="D860" s="43"/>
      <c r="E860" s="42"/>
    </row>
    <row r="861" spans="1:5" ht="12.75" customHeight="1">
      <c r="A861" s="43"/>
      <c r="B861" s="43"/>
      <c r="C861" s="43"/>
      <c r="D861" s="43"/>
      <c r="E861" s="42"/>
    </row>
    <row r="862" spans="1:5" ht="12.75" customHeight="1">
      <c r="A862" s="43"/>
      <c r="B862" s="43"/>
      <c r="C862" s="43"/>
      <c r="D862" s="43"/>
      <c r="E862" s="42"/>
    </row>
    <row r="863" spans="1:5" ht="12.75" customHeight="1">
      <c r="A863" s="43"/>
      <c r="B863" s="43"/>
      <c r="C863" s="43"/>
      <c r="D863" s="43"/>
      <c r="E863" s="42"/>
    </row>
    <row r="864" spans="1:5" ht="12.75" customHeight="1">
      <c r="A864" s="43"/>
      <c r="B864" s="43"/>
      <c r="C864" s="43"/>
      <c r="D864" s="43"/>
      <c r="E864" s="42"/>
    </row>
    <row r="865" spans="1:5" ht="12.75" customHeight="1">
      <c r="A865" s="43"/>
      <c r="B865" s="43"/>
      <c r="C865" s="43"/>
      <c r="D865" s="43"/>
      <c r="E865" s="42"/>
    </row>
    <row r="866" spans="1:5" ht="12.75" customHeight="1">
      <c r="A866" s="43"/>
      <c r="B866" s="43"/>
      <c r="C866" s="43"/>
      <c r="D866" s="43"/>
      <c r="E866" s="42"/>
    </row>
    <row r="867" spans="1:5" ht="12.75" customHeight="1">
      <c r="A867" s="43"/>
      <c r="B867" s="43"/>
      <c r="C867" s="43"/>
      <c r="D867" s="43"/>
      <c r="E867" s="42"/>
    </row>
    <row r="868" spans="1:5" ht="12.75" customHeight="1">
      <c r="A868" s="43"/>
      <c r="B868" s="43"/>
      <c r="C868" s="43"/>
      <c r="D868" s="43"/>
      <c r="E868" s="42"/>
    </row>
    <row r="869" spans="1:5" ht="12.75" customHeight="1">
      <c r="A869" s="43"/>
      <c r="B869" s="43"/>
      <c r="C869" s="43"/>
      <c r="D869" s="43"/>
      <c r="E869" s="42"/>
    </row>
    <row r="870" spans="1:5" ht="12.75" customHeight="1">
      <c r="A870" s="43"/>
      <c r="B870" s="43"/>
      <c r="C870" s="43"/>
      <c r="D870" s="43"/>
      <c r="E870" s="42"/>
    </row>
    <row r="871" spans="1:5" ht="12.75" customHeight="1">
      <c r="A871" s="43"/>
      <c r="B871" s="43"/>
      <c r="C871" s="43"/>
      <c r="D871" s="43"/>
      <c r="E871" s="42"/>
    </row>
    <row r="872" spans="1:5" ht="12.75" customHeight="1">
      <c r="A872" s="43"/>
      <c r="B872" s="43"/>
      <c r="C872" s="43"/>
      <c r="D872" s="43"/>
      <c r="E872" s="42"/>
    </row>
    <row r="873" spans="1:5" ht="12.75" customHeight="1">
      <c r="A873" s="43"/>
      <c r="B873" s="43"/>
      <c r="C873" s="43"/>
      <c r="D873" s="43"/>
      <c r="E873" s="42"/>
    </row>
    <row r="874" spans="1:5" ht="12.75" customHeight="1">
      <c r="A874" s="43"/>
      <c r="B874" s="43"/>
      <c r="C874" s="43"/>
      <c r="D874" s="43"/>
      <c r="E874" s="42"/>
    </row>
    <row r="875" spans="1:5" ht="12.75" customHeight="1">
      <c r="A875" s="43"/>
      <c r="B875" s="43"/>
      <c r="C875" s="43"/>
      <c r="D875" s="43"/>
      <c r="E875" s="42"/>
    </row>
    <row r="876" spans="1:5" ht="12.75" customHeight="1">
      <c r="A876" s="43"/>
      <c r="B876" s="43"/>
      <c r="C876" s="43"/>
      <c r="D876" s="43"/>
      <c r="E876" s="42"/>
    </row>
    <row r="877" spans="1:5" ht="12.75" customHeight="1">
      <c r="A877" s="43"/>
      <c r="B877" s="43"/>
      <c r="C877" s="43"/>
      <c r="D877" s="43"/>
      <c r="E877" s="42"/>
    </row>
    <row r="878" spans="1:5" ht="12.75" customHeight="1">
      <c r="A878" s="43"/>
      <c r="B878" s="43"/>
      <c r="C878" s="43"/>
      <c r="D878" s="43"/>
      <c r="E878" s="42"/>
    </row>
    <row r="879" spans="1:5" ht="12.75" customHeight="1">
      <c r="A879" s="43"/>
      <c r="B879" s="43"/>
      <c r="C879" s="43"/>
      <c r="D879" s="43"/>
      <c r="E879" s="42"/>
    </row>
    <row r="880" spans="1:5" ht="12.75" customHeight="1">
      <c r="A880" s="43"/>
      <c r="B880" s="43"/>
      <c r="C880" s="43"/>
      <c r="D880" s="43"/>
      <c r="E880" s="42"/>
    </row>
    <row r="881" spans="1:5" ht="12.75" customHeight="1">
      <c r="A881" s="43"/>
      <c r="B881" s="43"/>
      <c r="C881" s="43"/>
      <c r="D881" s="43"/>
      <c r="E881" s="42"/>
    </row>
    <row r="882" spans="1:5" ht="12.75" customHeight="1">
      <c r="A882" s="43"/>
      <c r="B882" s="43"/>
      <c r="C882" s="43"/>
      <c r="D882" s="43"/>
      <c r="E882" s="42"/>
    </row>
    <row r="883" spans="1:5" ht="12.75" customHeight="1">
      <c r="A883" s="43"/>
      <c r="B883" s="43"/>
      <c r="C883" s="43"/>
      <c r="D883" s="43"/>
      <c r="E883" s="42"/>
    </row>
    <row r="884" spans="1:5" ht="12.75" customHeight="1">
      <c r="A884" s="43"/>
      <c r="B884" s="43"/>
      <c r="C884" s="43"/>
      <c r="D884" s="43"/>
      <c r="E884" s="42"/>
    </row>
    <row r="885" spans="1:5" ht="12.75" customHeight="1">
      <c r="A885" s="43"/>
      <c r="B885" s="43"/>
      <c r="C885" s="43"/>
      <c r="D885" s="43"/>
      <c r="E885" s="42"/>
    </row>
    <row r="886" spans="1:5" ht="12.75" customHeight="1">
      <c r="A886" s="43"/>
      <c r="B886" s="43"/>
      <c r="C886" s="43"/>
      <c r="D886" s="43"/>
      <c r="E886" s="42"/>
    </row>
    <row r="887" spans="1:5" ht="12.75" customHeight="1">
      <c r="A887" s="43"/>
      <c r="B887" s="43"/>
      <c r="C887" s="43"/>
      <c r="D887" s="43"/>
      <c r="E887" s="42"/>
    </row>
    <row r="888" spans="1:5" ht="12.75" customHeight="1">
      <c r="A888" s="43"/>
      <c r="B888" s="43"/>
      <c r="C888" s="43"/>
      <c r="D888" s="43"/>
      <c r="E888" s="42"/>
    </row>
    <row r="889" spans="1:5" ht="12.75" customHeight="1">
      <c r="A889" s="43"/>
      <c r="B889" s="43"/>
      <c r="C889" s="43"/>
      <c r="D889" s="43"/>
      <c r="E889" s="42"/>
    </row>
    <row r="890" spans="1:5" ht="12.75" customHeight="1">
      <c r="A890" s="43"/>
      <c r="B890" s="43"/>
      <c r="C890" s="43"/>
      <c r="D890" s="43"/>
      <c r="E890" s="42"/>
    </row>
    <row r="891" spans="1:5" ht="12.75" customHeight="1">
      <c r="A891" s="43"/>
      <c r="B891" s="43"/>
      <c r="C891" s="43"/>
      <c r="D891" s="43"/>
      <c r="E891" s="42"/>
    </row>
    <row r="892" spans="1:5" ht="12.75" customHeight="1">
      <c r="A892" s="43"/>
      <c r="B892" s="43"/>
      <c r="C892" s="43"/>
      <c r="D892" s="43"/>
      <c r="E892" s="42"/>
    </row>
    <row r="893" spans="1:5" ht="12.75" customHeight="1">
      <c r="A893" s="43"/>
      <c r="B893" s="43"/>
      <c r="C893" s="43"/>
      <c r="D893" s="43"/>
      <c r="E893" s="42"/>
    </row>
    <row r="894" spans="1:5" ht="12.75" customHeight="1">
      <c r="A894" s="43"/>
      <c r="B894" s="43"/>
      <c r="C894" s="43"/>
      <c r="D894" s="43"/>
      <c r="E894" s="42"/>
    </row>
    <row r="895" spans="1:5" ht="12.75" customHeight="1">
      <c r="A895" s="43"/>
      <c r="B895" s="43"/>
      <c r="C895" s="43"/>
      <c r="D895" s="43"/>
      <c r="E895" s="42"/>
    </row>
    <row r="896" spans="1:5" ht="12.75" customHeight="1">
      <c r="A896" s="43"/>
      <c r="B896" s="43"/>
      <c r="C896" s="43"/>
      <c r="D896" s="43"/>
      <c r="E896" s="42"/>
    </row>
    <row r="897" spans="1:5" ht="12.75" customHeight="1">
      <c r="A897" s="43"/>
      <c r="B897" s="43"/>
      <c r="C897" s="43"/>
      <c r="D897" s="43"/>
      <c r="E897" s="42"/>
    </row>
    <row r="898" spans="1:5" ht="12.75" customHeight="1">
      <c r="A898" s="43"/>
      <c r="B898" s="43"/>
      <c r="C898" s="43"/>
      <c r="D898" s="43"/>
      <c r="E898" s="42"/>
    </row>
    <row r="899" spans="1:5" ht="12.75" customHeight="1">
      <c r="A899" s="43"/>
      <c r="B899" s="43"/>
      <c r="C899" s="43"/>
      <c r="D899" s="43"/>
      <c r="E899" s="42"/>
    </row>
    <row r="900" spans="1:5" ht="12.75" customHeight="1">
      <c r="A900" s="43"/>
      <c r="B900" s="43"/>
      <c r="C900" s="43"/>
      <c r="D900" s="43"/>
      <c r="E900" s="42"/>
    </row>
    <row r="901" spans="1:5" ht="12.75" customHeight="1">
      <c r="A901" s="43"/>
      <c r="B901" s="43"/>
      <c r="C901" s="43"/>
      <c r="D901" s="43"/>
      <c r="E901" s="42"/>
    </row>
    <row r="902" spans="1:5" ht="12.75" customHeight="1">
      <c r="A902" s="43"/>
      <c r="B902" s="43"/>
      <c r="C902" s="43"/>
      <c r="D902" s="43"/>
      <c r="E902" s="42"/>
    </row>
    <row r="903" spans="1:5" ht="12.75" customHeight="1">
      <c r="A903" s="43"/>
      <c r="B903" s="43"/>
      <c r="C903" s="43"/>
      <c r="D903" s="43"/>
      <c r="E903" s="42"/>
    </row>
    <row r="904" spans="1:5" ht="12.75" customHeight="1">
      <c r="A904" s="43"/>
      <c r="B904" s="43"/>
      <c r="C904" s="43"/>
      <c r="D904" s="43"/>
      <c r="E904" s="42"/>
    </row>
    <row r="905" spans="1:5" ht="12.75" customHeight="1">
      <c r="A905" s="43"/>
      <c r="B905" s="43"/>
      <c r="C905" s="43"/>
      <c r="D905" s="43"/>
      <c r="E905" s="42"/>
    </row>
    <row r="906" spans="1:5" ht="12.75" customHeight="1">
      <c r="A906" s="43"/>
      <c r="B906" s="43"/>
      <c r="C906" s="43"/>
      <c r="D906" s="43"/>
      <c r="E906" s="42"/>
    </row>
    <row r="907" spans="1:5" ht="12.75" customHeight="1">
      <c r="A907" s="43"/>
      <c r="B907" s="43"/>
      <c r="C907" s="43"/>
      <c r="D907" s="43"/>
      <c r="E907" s="42"/>
    </row>
    <row r="908" spans="1:5" ht="12.75" customHeight="1">
      <c r="A908" s="43"/>
      <c r="B908" s="43"/>
      <c r="C908" s="43"/>
      <c r="D908" s="43"/>
      <c r="E908" s="42"/>
    </row>
    <row r="909" spans="1:5" ht="12.75" customHeight="1">
      <c r="A909" s="43"/>
      <c r="B909" s="43"/>
      <c r="C909" s="43"/>
      <c r="D909" s="43"/>
      <c r="E909" s="42"/>
    </row>
    <row r="910" spans="1:5" ht="12.75" customHeight="1">
      <c r="A910" s="43"/>
      <c r="B910" s="43"/>
      <c r="C910" s="43"/>
      <c r="D910" s="43"/>
      <c r="E910" s="42"/>
    </row>
    <row r="911" spans="1:5" ht="12.75" customHeight="1">
      <c r="A911" s="43"/>
      <c r="B911" s="43"/>
      <c r="C911" s="43"/>
      <c r="D911" s="43"/>
      <c r="E911" s="42"/>
    </row>
    <row r="912" spans="1:5" ht="12.75" customHeight="1">
      <c r="A912" s="43"/>
      <c r="B912" s="43"/>
      <c r="C912" s="43"/>
      <c r="D912" s="43"/>
      <c r="E912" s="42"/>
    </row>
    <row r="913" spans="1:5" ht="12.75" customHeight="1">
      <c r="A913" s="43"/>
      <c r="B913" s="43"/>
      <c r="C913" s="43"/>
      <c r="D913" s="43"/>
      <c r="E913" s="42"/>
    </row>
    <row r="914" spans="1:5" ht="12.75" customHeight="1">
      <c r="A914" s="43"/>
      <c r="B914" s="43"/>
      <c r="C914" s="43"/>
      <c r="D914" s="43"/>
      <c r="E914" s="42"/>
    </row>
    <row r="915" spans="1:5" ht="12.75" customHeight="1">
      <c r="A915" s="43"/>
      <c r="B915" s="43"/>
      <c r="C915" s="43"/>
      <c r="D915" s="43"/>
      <c r="E915" s="42"/>
    </row>
    <row r="916" spans="1:5" ht="12.75" customHeight="1">
      <c r="A916" s="43"/>
      <c r="B916" s="43"/>
      <c r="C916" s="43"/>
      <c r="D916" s="43"/>
      <c r="E916" s="42"/>
    </row>
    <row r="917" spans="1:5" ht="12.75" customHeight="1">
      <c r="A917" s="43"/>
      <c r="B917" s="43"/>
      <c r="C917" s="43"/>
      <c r="D917" s="43"/>
      <c r="E917" s="42"/>
    </row>
    <row r="918" spans="1:5" ht="12.75" customHeight="1">
      <c r="A918" s="43"/>
      <c r="B918" s="43"/>
      <c r="C918" s="43"/>
      <c r="D918" s="43"/>
      <c r="E918" s="42"/>
    </row>
    <row r="919" spans="1:5" ht="12.75" customHeight="1">
      <c r="A919" s="43"/>
      <c r="B919" s="43"/>
      <c r="C919" s="43"/>
      <c r="D919" s="43"/>
      <c r="E919" s="42"/>
    </row>
    <row r="920" spans="1:5" ht="12.75" customHeight="1">
      <c r="A920" s="43"/>
      <c r="B920" s="43"/>
      <c r="C920" s="43"/>
      <c r="D920" s="43"/>
      <c r="E920" s="42"/>
    </row>
    <row r="921" spans="1:5" ht="12.75" customHeight="1">
      <c r="A921" s="43"/>
      <c r="B921" s="43"/>
      <c r="C921" s="43"/>
      <c r="D921" s="43"/>
      <c r="E921" s="42"/>
    </row>
    <row r="922" spans="1:5" ht="12.75" customHeight="1">
      <c r="A922" s="43"/>
      <c r="B922" s="43"/>
      <c r="C922" s="43"/>
      <c r="D922" s="43"/>
      <c r="E922" s="42"/>
    </row>
    <row r="923" spans="1:5" ht="12.75" customHeight="1">
      <c r="A923" s="43"/>
      <c r="B923" s="43"/>
      <c r="C923" s="43"/>
      <c r="D923" s="43"/>
      <c r="E923" s="42"/>
    </row>
    <row r="924" spans="1:5" ht="12.75" customHeight="1">
      <c r="A924" s="43"/>
      <c r="B924" s="43"/>
      <c r="C924" s="43"/>
      <c r="D924" s="43"/>
      <c r="E924" s="42"/>
    </row>
    <row r="925" spans="1:5" ht="12.75" customHeight="1">
      <c r="A925" s="43"/>
      <c r="B925" s="43"/>
      <c r="C925" s="43"/>
      <c r="D925" s="43"/>
      <c r="E925" s="42"/>
    </row>
    <row r="926" spans="1:5" ht="12.75" customHeight="1">
      <c r="A926" s="43"/>
      <c r="B926" s="43"/>
      <c r="C926" s="43"/>
      <c r="D926" s="43"/>
      <c r="E926" s="42"/>
    </row>
    <row r="927" spans="1:5" ht="12.75" customHeight="1">
      <c r="A927" s="43"/>
      <c r="B927" s="43"/>
      <c r="C927" s="43"/>
      <c r="D927" s="43"/>
      <c r="E927" s="42"/>
    </row>
    <row r="928" spans="1:5" ht="12.75" customHeight="1">
      <c r="A928" s="43"/>
      <c r="B928" s="43"/>
      <c r="C928" s="43"/>
      <c r="D928" s="43"/>
      <c r="E928" s="42"/>
    </row>
    <row r="929" spans="1:5" ht="12.75" customHeight="1">
      <c r="A929" s="43"/>
      <c r="B929" s="43"/>
      <c r="C929" s="43"/>
      <c r="D929" s="43"/>
      <c r="E929" s="42"/>
    </row>
    <row r="930" spans="1:5" ht="12.75" customHeight="1">
      <c r="A930" s="43"/>
      <c r="B930" s="43"/>
      <c r="C930" s="43"/>
      <c r="D930" s="43"/>
      <c r="E930" s="42"/>
    </row>
    <row r="931" spans="1:5" ht="12.75" customHeight="1">
      <c r="A931" s="43"/>
      <c r="B931" s="43"/>
      <c r="C931" s="43"/>
      <c r="D931" s="43"/>
      <c r="E931" s="42"/>
    </row>
    <row r="932" spans="1:5" ht="12.75" customHeight="1">
      <c r="A932" s="43"/>
      <c r="B932" s="43"/>
      <c r="C932" s="43"/>
      <c r="D932" s="43"/>
      <c r="E932" s="42"/>
    </row>
    <row r="933" spans="1:5" ht="12.75" customHeight="1">
      <c r="A933" s="43"/>
      <c r="B933" s="43"/>
      <c r="C933" s="43"/>
      <c r="D933" s="43"/>
      <c r="E933" s="42"/>
    </row>
    <row r="934" spans="1:5" ht="12.75" customHeight="1">
      <c r="A934" s="43"/>
      <c r="B934" s="43"/>
      <c r="C934" s="43"/>
      <c r="D934" s="43"/>
      <c r="E934" s="42"/>
    </row>
    <row r="935" spans="1:5" ht="12.75" customHeight="1">
      <c r="A935" s="43"/>
      <c r="B935" s="43"/>
      <c r="C935" s="43"/>
      <c r="D935" s="43"/>
      <c r="E935" s="42"/>
    </row>
    <row r="936" spans="1:5" ht="12.75" customHeight="1">
      <c r="A936" s="43"/>
      <c r="B936" s="43"/>
      <c r="C936" s="43"/>
      <c r="D936" s="43"/>
      <c r="E936" s="42"/>
    </row>
    <row r="937" spans="1:5" ht="12.75" customHeight="1">
      <c r="A937" s="43"/>
      <c r="B937" s="43"/>
      <c r="C937" s="43"/>
      <c r="D937" s="43"/>
      <c r="E937" s="42"/>
    </row>
    <row r="938" spans="1:5" ht="12.75" customHeight="1">
      <c r="A938" s="43"/>
      <c r="B938" s="43"/>
      <c r="C938" s="43"/>
      <c r="D938" s="43"/>
      <c r="E938" s="42"/>
    </row>
    <row r="939" spans="1:5" ht="12.75" customHeight="1">
      <c r="A939" s="43"/>
      <c r="B939" s="43"/>
      <c r="C939" s="43"/>
      <c r="D939" s="43"/>
      <c r="E939" s="42"/>
    </row>
    <row r="940" spans="1:5" ht="12.75" customHeight="1">
      <c r="A940" s="43"/>
      <c r="B940" s="43"/>
      <c r="C940" s="43"/>
      <c r="D940" s="43"/>
      <c r="E940" s="42"/>
    </row>
    <row r="941" spans="1:5" ht="12.75" customHeight="1">
      <c r="A941" s="43"/>
      <c r="B941" s="43"/>
      <c r="C941" s="43"/>
      <c r="D941" s="43"/>
      <c r="E941" s="42"/>
    </row>
    <row r="942" spans="1:5" ht="12.75" customHeight="1">
      <c r="A942" s="43"/>
      <c r="B942" s="43"/>
      <c r="C942" s="43"/>
      <c r="D942" s="43"/>
      <c r="E942" s="42"/>
    </row>
    <row r="943" spans="1:5" ht="12.75" customHeight="1">
      <c r="A943" s="43"/>
      <c r="B943" s="43"/>
      <c r="C943" s="43"/>
      <c r="D943" s="43"/>
      <c r="E943" s="42"/>
    </row>
    <row r="944" spans="1:5" ht="12.75" customHeight="1">
      <c r="A944" s="43"/>
      <c r="B944" s="43"/>
      <c r="C944" s="43"/>
      <c r="D944" s="43"/>
      <c r="E944" s="42"/>
    </row>
    <row r="945" spans="1:5" ht="12.75" customHeight="1">
      <c r="A945" s="43"/>
      <c r="B945" s="43"/>
      <c r="C945" s="43"/>
      <c r="D945" s="43"/>
      <c r="E945" s="42"/>
    </row>
    <row r="946" spans="1:5" ht="12.75" customHeight="1">
      <c r="A946" s="43"/>
      <c r="B946" s="43"/>
      <c r="C946" s="43"/>
      <c r="D946" s="43"/>
      <c r="E946" s="42"/>
    </row>
    <row r="947" spans="1:5" ht="12.75" customHeight="1">
      <c r="A947" s="43"/>
      <c r="B947" s="43"/>
      <c r="C947" s="43"/>
      <c r="D947" s="43"/>
      <c r="E947" s="42"/>
    </row>
    <row r="948" spans="1:5" ht="12.75" customHeight="1">
      <c r="A948" s="43"/>
      <c r="B948" s="43"/>
      <c r="C948" s="43"/>
      <c r="D948" s="43"/>
      <c r="E948" s="42"/>
    </row>
    <row r="949" spans="1:5" ht="12.75" customHeight="1">
      <c r="A949" s="43"/>
      <c r="B949" s="43"/>
      <c r="C949" s="43"/>
      <c r="D949" s="43"/>
      <c r="E949" s="42"/>
    </row>
    <row r="950" spans="1:5" ht="12.75" customHeight="1">
      <c r="A950" s="43"/>
      <c r="B950" s="43"/>
      <c r="C950" s="43"/>
      <c r="D950" s="43"/>
      <c r="E950" s="42"/>
    </row>
    <row r="951" spans="1:5" ht="12.75" customHeight="1">
      <c r="A951" s="43"/>
      <c r="B951" s="43"/>
      <c r="C951" s="43"/>
      <c r="D951" s="43"/>
      <c r="E951" s="42"/>
    </row>
    <row r="952" spans="1:5" ht="12.75" customHeight="1">
      <c r="A952" s="43"/>
      <c r="B952" s="43"/>
      <c r="C952" s="43"/>
      <c r="D952" s="43"/>
      <c r="E952" s="42"/>
    </row>
    <row r="953" spans="1:5" ht="12.75" customHeight="1">
      <c r="A953" s="43"/>
      <c r="B953" s="43"/>
      <c r="C953" s="43"/>
      <c r="D953" s="43"/>
      <c r="E953" s="42"/>
    </row>
    <row r="954" spans="1:5" ht="12.75" customHeight="1">
      <c r="A954" s="43"/>
      <c r="B954" s="43"/>
      <c r="C954" s="43"/>
      <c r="D954" s="43"/>
      <c r="E954" s="42"/>
    </row>
    <row r="955" spans="1:5" ht="12.75" customHeight="1">
      <c r="A955" s="43"/>
      <c r="B955" s="43"/>
      <c r="C955" s="43"/>
      <c r="D955" s="43"/>
      <c r="E955" s="42"/>
    </row>
    <row r="956" spans="1:5" ht="12.75" customHeight="1">
      <c r="A956" s="43"/>
      <c r="B956" s="43"/>
      <c r="C956" s="43"/>
      <c r="D956" s="43"/>
      <c r="E956" s="42"/>
    </row>
    <row r="957" spans="1:5" ht="12.75" customHeight="1">
      <c r="A957" s="43"/>
      <c r="B957" s="43"/>
      <c r="C957" s="43"/>
      <c r="D957" s="43"/>
      <c r="E957" s="42"/>
    </row>
    <row r="958" spans="1:5" ht="12.75" customHeight="1">
      <c r="A958" s="43"/>
      <c r="B958" s="43"/>
      <c r="C958" s="43"/>
      <c r="D958" s="43"/>
      <c r="E958" s="42"/>
    </row>
    <row r="959" spans="1:5" ht="12.75" customHeight="1">
      <c r="A959" s="43"/>
      <c r="B959" s="43"/>
      <c r="C959" s="43"/>
      <c r="D959" s="43"/>
      <c r="E959" s="42"/>
    </row>
    <row r="960" spans="1:5" ht="12.75" customHeight="1">
      <c r="A960" s="43"/>
      <c r="B960" s="43"/>
      <c r="C960" s="43"/>
      <c r="D960" s="43"/>
      <c r="E960" s="42"/>
    </row>
    <row r="961" spans="1:5" ht="12.75" customHeight="1">
      <c r="A961" s="43"/>
      <c r="B961" s="43"/>
      <c r="C961" s="43"/>
      <c r="D961" s="43"/>
      <c r="E961" s="42"/>
    </row>
    <row r="962" spans="1:5" ht="12.75" customHeight="1">
      <c r="A962" s="43"/>
      <c r="B962" s="43"/>
      <c r="C962" s="43"/>
      <c r="D962" s="43"/>
      <c r="E962" s="42"/>
    </row>
    <row r="963" spans="1:5" ht="12.75" customHeight="1">
      <c r="A963" s="43"/>
      <c r="B963" s="43"/>
      <c r="C963" s="43"/>
      <c r="D963" s="43"/>
      <c r="E963" s="42"/>
    </row>
    <row r="964" spans="1:5" ht="12.75" customHeight="1">
      <c r="A964" s="43"/>
      <c r="B964" s="43"/>
      <c r="C964" s="43"/>
      <c r="D964" s="43"/>
      <c r="E964" s="42"/>
    </row>
    <row r="965" spans="1:5" ht="12.75" customHeight="1">
      <c r="A965" s="43"/>
      <c r="B965" s="43"/>
      <c r="C965" s="43"/>
      <c r="D965" s="43"/>
      <c r="E965" s="42"/>
    </row>
    <row r="966" spans="1:5" ht="12.75" customHeight="1">
      <c r="A966" s="43"/>
      <c r="B966" s="43"/>
      <c r="C966" s="43"/>
      <c r="D966" s="43"/>
      <c r="E966" s="42"/>
    </row>
    <row r="967" spans="1:5" ht="12.75" customHeight="1">
      <c r="A967" s="43"/>
      <c r="B967" s="43"/>
      <c r="C967" s="43"/>
      <c r="D967" s="43"/>
      <c r="E967" s="42"/>
    </row>
    <row r="968" spans="1:5" ht="12.75" customHeight="1">
      <c r="A968" s="43"/>
      <c r="B968" s="43"/>
      <c r="C968" s="43"/>
      <c r="D968" s="43"/>
      <c r="E968" s="42"/>
    </row>
    <row r="969" spans="1:5" ht="12.75" customHeight="1">
      <c r="A969" s="43"/>
      <c r="B969" s="43"/>
      <c r="C969" s="43"/>
      <c r="D969" s="43"/>
      <c r="E969" s="42"/>
    </row>
    <row r="970" spans="1:5" ht="12.75" customHeight="1">
      <c r="A970" s="43"/>
      <c r="B970" s="43"/>
      <c r="C970" s="43"/>
      <c r="D970" s="43"/>
      <c r="E970" s="42"/>
    </row>
    <row r="971" spans="1:5" ht="12.75" customHeight="1">
      <c r="A971" s="43"/>
      <c r="B971" s="43"/>
      <c r="C971" s="43"/>
      <c r="D971" s="43"/>
      <c r="E971" s="42"/>
    </row>
    <row r="972" spans="1:5" ht="12.75" customHeight="1">
      <c r="A972" s="43"/>
      <c r="B972" s="43"/>
      <c r="C972" s="43"/>
      <c r="D972" s="43"/>
      <c r="E972" s="42"/>
    </row>
    <row r="973" spans="1:5" ht="12.75" customHeight="1">
      <c r="A973" s="43"/>
      <c r="B973" s="43"/>
      <c r="C973" s="43"/>
      <c r="D973" s="43"/>
      <c r="E973" s="42"/>
    </row>
    <row r="974" spans="1:5" ht="12.75" customHeight="1">
      <c r="A974" s="43"/>
      <c r="B974" s="43"/>
      <c r="C974" s="43"/>
      <c r="D974" s="43"/>
      <c r="E974" s="42"/>
    </row>
    <row r="975" spans="1:5" ht="12.75" customHeight="1">
      <c r="A975" s="43"/>
      <c r="B975" s="43"/>
      <c r="C975" s="43"/>
      <c r="D975" s="43"/>
      <c r="E975" s="42"/>
    </row>
    <row r="976" spans="1:5" ht="12.75" customHeight="1">
      <c r="A976" s="43"/>
      <c r="B976" s="43"/>
      <c r="C976" s="43"/>
      <c r="D976" s="43"/>
      <c r="E976" s="42"/>
    </row>
    <row r="977" spans="1:5" ht="12.75" customHeight="1">
      <c r="A977" s="43"/>
      <c r="B977" s="43"/>
      <c r="C977" s="43"/>
      <c r="D977" s="43"/>
      <c r="E977" s="42"/>
    </row>
    <row r="978" spans="1:5" ht="12.75" customHeight="1">
      <c r="A978" s="43"/>
      <c r="B978" s="43"/>
      <c r="C978" s="43"/>
      <c r="D978" s="43"/>
      <c r="E978" s="42"/>
    </row>
    <row r="979" spans="1:5" ht="12.75" customHeight="1">
      <c r="A979" s="43"/>
      <c r="B979" s="43"/>
      <c r="C979" s="43"/>
      <c r="D979" s="43"/>
      <c r="E979" s="42"/>
    </row>
    <row r="980" spans="1:5" ht="12.75" customHeight="1">
      <c r="A980" s="43"/>
      <c r="B980" s="43"/>
      <c r="C980" s="43"/>
      <c r="D980" s="43"/>
      <c r="E980" s="42"/>
    </row>
    <row r="981" spans="1:5" ht="12.75" customHeight="1">
      <c r="A981" s="43"/>
      <c r="B981" s="43"/>
      <c r="C981" s="43"/>
      <c r="D981" s="43"/>
      <c r="E981" s="42"/>
    </row>
    <row r="982" spans="1:5" ht="12.75" customHeight="1">
      <c r="A982" s="43"/>
      <c r="B982" s="43"/>
      <c r="C982" s="43"/>
      <c r="D982" s="43"/>
      <c r="E982" s="42"/>
    </row>
    <row r="983" spans="1:5" ht="12.75" customHeight="1">
      <c r="A983" s="43"/>
      <c r="B983" s="43"/>
      <c r="C983" s="43"/>
      <c r="D983" s="43"/>
      <c r="E983" s="42"/>
    </row>
    <row r="984" spans="1:5" ht="12.75" customHeight="1">
      <c r="A984" s="43"/>
      <c r="B984" s="43"/>
      <c r="C984" s="43"/>
      <c r="D984" s="43"/>
      <c r="E984" s="42"/>
    </row>
    <row r="985" spans="1:5" ht="12.75" customHeight="1">
      <c r="A985" s="43"/>
      <c r="B985" s="43"/>
      <c r="C985" s="43"/>
      <c r="D985" s="43"/>
      <c r="E985" s="42"/>
    </row>
    <row r="986" spans="1:5" ht="12.75" customHeight="1">
      <c r="A986" s="43"/>
      <c r="B986" s="43"/>
      <c r="C986" s="43"/>
      <c r="D986" s="43"/>
      <c r="E986" s="42"/>
    </row>
    <row r="987" spans="1:5" ht="12.75" customHeight="1">
      <c r="A987" s="43"/>
      <c r="B987" s="43"/>
      <c r="C987" s="43"/>
      <c r="D987" s="43"/>
      <c r="E987" s="42"/>
    </row>
    <row r="988" spans="1:5" ht="12.75" customHeight="1">
      <c r="A988" s="43"/>
      <c r="B988" s="43"/>
      <c r="C988" s="43"/>
      <c r="D988" s="43"/>
      <c r="E988" s="42"/>
    </row>
    <row r="989" spans="1:5" ht="12.75" customHeight="1">
      <c r="A989" s="43"/>
      <c r="B989" s="43"/>
      <c r="C989" s="43"/>
      <c r="D989" s="43"/>
      <c r="E989" s="42"/>
    </row>
    <row r="990" spans="1:5" ht="12.75" customHeight="1">
      <c r="A990" s="43"/>
      <c r="B990" s="43"/>
      <c r="C990" s="43"/>
      <c r="D990" s="43"/>
      <c r="E990" s="42"/>
    </row>
    <row r="991" spans="1:5" ht="12.75" customHeight="1">
      <c r="A991" s="43"/>
      <c r="B991" s="43"/>
      <c r="C991" s="43"/>
      <c r="D991" s="43"/>
      <c r="E991" s="42"/>
    </row>
    <row r="992" spans="1:5" ht="12.75" customHeight="1">
      <c r="A992" s="43"/>
      <c r="B992" s="43"/>
      <c r="C992" s="43"/>
      <c r="D992" s="43"/>
      <c r="E992" s="42"/>
    </row>
    <row r="993" spans="1:5" ht="12.75" customHeight="1">
      <c r="A993" s="43"/>
      <c r="B993" s="43"/>
      <c r="C993" s="43"/>
      <c r="D993" s="43"/>
      <c r="E993" s="42"/>
    </row>
    <row r="994" spans="1:5" ht="12.75" customHeight="1">
      <c r="A994" s="43"/>
      <c r="B994" s="43"/>
      <c r="C994" s="43"/>
      <c r="D994" s="43"/>
      <c r="E994" s="42"/>
    </row>
    <row r="995" spans="1:5" ht="12.75" customHeight="1">
      <c r="A995" s="43"/>
      <c r="B995" s="43"/>
      <c r="C995" s="43"/>
      <c r="D995" s="43"/>
      <c r="E995" s="42"/>
    </row>
    <row r="996" spans="1:5" ht="12.75" customHeight="1">
      <c r="A996" s="43"/>
      <c r="B996" s="43"/>
      <c r="C996" s="43"/>
      <c r="D996" s="43"/>
      <c r="E996" s="42"/>
    </row>
    <row r="997" spans="1:5" ht="12.75" customHeight="1">
      <c r="A997" s="43"/>
      <c r="B997" s="43"/>
      <c r="C997" s="43"/>
      <c r="D997" s="43"/>
      <c r="E997" s="42"/>
    </row>
    <row r="998" spans="1:5" ht="12.75" customHeight="1">
      <c r="A998" s="43"/>
      <c r="B998" s="43"/>
      <c r="C998" s="43"/>
      <c r="D998" s="43"/>
      <c r="E998" s="42"/>
    </row>
    <row r="999" spans="1:5" ht="12.75" customHeight="1">
      <c r="A999" s="43"/>
      <c r="B999" s="43"/>
      <c r="C999" s="43"/>
      <c r="D999" s="43"/>
      <c r="E999" s="42"/>
    </row>
    <row r="1000" spans="1:5" ht="12.75" customHeight="1">
      <c r="A1000" s="43"/>
      <c r="B1000" s="43"/>
      <c r="C1000" s="43"/>
      <c r="D1000" s="43"/>
      <c r="E1000" s="42"/>
    </row>
    <row r="1001" spans="1:5" ht="12.75" customHeight="1">
      <c r="A1001" s="43"/>
      <c r="B1001" s="43"/>
      <c r="C1001" s="43"/>
      <c r="D1001" s="43"/>
      <c r="E1001" s="42"/>
    </row>
    <row r="1002" spans="1:5" ht="12.75" customHeight="1">
      <c r="A1002" s="43"/>
      <c r="B1002" s="43"/>
      <c r="C1002" s="43"/>
      <c r="D1002" s="43"/>
      <c r="E1002" s="42"/>
    </row>
    <row r="1003" spans="1:5" ht="12.75" customHeight="1">
      <c r="A1003" s="43"/>
      <c r="B1003" s="43"/>
      <c r="C1003" s="43"/>
      <c r="D1003" s="43"/>
      <c r="E1003" s="42"/>
    </row>
    <row r="1004" spans="1:5" ht="12.75" customHeight="1">
      <c r="A1004" s="43"/>
      <c r="B1004" s="43"/>
      <c r="C1004" s="43"/>
      <c r="D1004" s="43"/>
      <c r="E1004" s="42"/>
    </row>
    <row r="1005" spans="1:5" ht="12.75" customHeight="1">
      <c r="A1005" s="43"/>
      <c r="B1005" s="43"/>
      <c r="C1005" s="43"/>
      <c r="D1005" s="43"/>
      <c r="E1005" s="42"/>
    </row>
    <row r="1006" spans="1:5" ht="12.75" customHeight="1">
      <c r="A1006" s="43"/>
      <c r="B1006" s="43"/>
      <c r="C1006" s="43"/>
      <c r="D1006" s="43"/>
      <c r="E1006" s="42"/>
    </row>
    <row r="1007" spans="1:5" ht="12.75" customHeight="1">
      <c r="A1007" s="43"/>
      <c r="B1007" s="43"/>
      <c r="C1007" s="43"/>
      <c r="D1007" s="43"/>
      <c r="E1007" s="42"/>
    </row>
    <row r="1008" spans="1:5" ht="12.75" customHeight="1">
      <c r="A1008" s="43"/>
      <c r="B1008" s="43"/>
      <c r="C1008" s="43"/>
      <c r="D1008" s="43"/>
      <c r="E1008" s="42"/>
    </row>
    <row r="1009" spans="1:5" ht="12.75" customHeight="1">
      <c r="A1009" s="43"/>
      <c r="B1009" s="43"/>
      <c r="C1009" s="43"/>
      <c r="D1009" s="43"/>
      <c r="E1009" s="42"/>
    </row>
    <row r="1010" spans="1:5" ht="12.75" customHeight="1">
      <c r="A1010" s="43"/>
      <c r="B1010" s="43"/>
      <c r="C1010" s="43"/>
      <c r="D1010" s="43"/>
      <c r="E1010" s="42"/>
    </row>
    <row r="1011" spans="1:5" ht="12.75" customHeight="1">
      <c r="A1011" s="43"/>
      <c r="B1011" s="43"/>
      <c r="C1011" s="43"/>
      <c r="D1011" s="43"/>
      <c r="E1011" s="42"/>
    </row>
    <row r="1012" spans="1:5" ht="12.75" customHeight="1">
      <c r="A1012" s="43"/>
      <c r="B1012" s="43"/>
      <c r="C1012" s="43"/>
      <c r="D1012" s="43"/>
      <c r="E1012" s="42"/>
    </row>
    <row r="1013" spans="1:5" ht="12.75" customHeight="1">
      <c r="A1013" s="43"/>
      <c r="B1013" s="43"/>
      <c r="C1013" s="43"/>
      <c r="D1013" s="43"/>
      <c r="E1013" s="42"/>
    </row>
    <row r="1014" spans="1:5" ht="12.75" customHeight="1">
      <c r="A1014" s="43"/>
      <c r="B1014" s="43"/>
      <c r="C1014" s="43"/>
      <c r="D1014" s="43"/>
      <c r="E1014" s="42"/>
    </row>
    <row r="1015" spans="1:5" ht="12.75" customHeight="1">
      <c r="A1015" s="43"/>
      <c r="B1015" s="43"/>
      <c r="C1015" s="43"/>
      <c r="D1015" s="43"/>
      <c r="E1015" s="42"/>
    </row>
    <row r="1016" spans="1:5" ht="12.75" customHeight="1">
      <c r="A1016" s="43"/>
      <c r="B1016" s="43"/>
      <c r="C1016" s="43"/>
      <c r="D1016" s="43"/>
      <c r="E1016" s="42"/>
    </row>
    <row r="1017" spans="1:5" ht="12.75" customHeight="1">
      <c r="A1017" s="43"/>
      <c r="B1017" s="43"/>
      <c r="C1017" s="43"/>
      <c r="D1017" s="43"/>
      <c r="E1017" s="42"/>
    </row>
    <row r="1018" spans="1:5" ht="12.75" customHeight="1">
      <c r="A1018" s="43"/>
      <c r="B1018" s="43"/>
      <c r="C1018" s="43"/>
      <c r="D1018" s="43"/>
      <c r="E1018" s="42"/>
    </row>
    <row r="1019" spans="1:5" ht="12.75" customHeight="1">
      <c r="A1019" s="43"/>
      <c r="B1019" s="43"/>
      <c r="C1019" s="43"/>
      <c r="D1019" s="43"/>
      <c r="E1019" s="42"/>
    </row>
    <row r="1020" spans="1:5" ht="12.75" customHeight="1">
      <c r="A1020" s="43"/>
      <c r="B1020" s="43"/>
      <c r="C1020" s="43"/>
      <c r="D1020" s="43"/>
      <c r="E1020" s="42"/>
    </row>
    <row r="1021" spans="1:5" ht="12.75" customHeight="1">
      <c r="A1021" s="43"/>
      <c r="B1021" s="43"/>
      <c r="C1021" s="43"/>
      <c r="D1021" s="43"/>
      <c r="E1021" s="42"/>
    </row>
    <row r="1022" spans="1:5" ht="12.75" customHeight="1">
      <c r="A1022" s="43"/>
      <c r="B1022" s="43"/>
      <c r="C1022" s="43"/>
      <c r="D1022" s="43"/>
      <c r="E1022" s="42"/>
    </row>
    <row r="1023" spans="1:5" ht="12.75" customHeight="1">
      <c r="A1023" s="43"/>
      <c r="B1023" s="43"/>
      <c r="C1023" s="43"/>
      <c r="D1023" s="43"/>
      <c r="E1023" s="42"/>
    </row>
    <row r="1024" spans="1:5" ht="12.75" customHeight="1">
      <c r="A1024" s="43"/>
      <c r="B1024" s="43"/>
      <c r="C1024" s="43"/>
      <c r="D1024" s="43"/>
      <c r="E1024" s="42"/>
    </row>
    <row r="1025" spans="1:5" ht="12.75" customHeight="1">
      <c r="A1025" s="43"/>
      <c r="B1025" s="43"/>
      <c r="C1025" s="43"/>
      <c r="D1025" s="43"/>
      <c r="E1025" s="42"/>
    </row>
    <row r="1026" spans="1:5" ht="12.75" customHeight="1">
      <c r="A1026" s="43"/>
      <c r="B1026" s="43"/>
      <c r="C1026" s="43"/>
      <c r="D1026" s="43"/>
      <c r="E1026" s="42"/>
    </row>
    <row r="1027" spans="1:5" ht="12.75" customHeight="1">
      <c r="A1027" s="43"/>
      <c r="B1027" s="43"/>
      <c r="C1027" s="43"/>
      <c r="D1027" s="43"/>
      <c r="E1027" s="42"/>
    </row>
    <row r="1028" spans="1:5" ht="12.75" customHeight="1">
      <c r="A1028" s="43"/>
      <c r="B1028" s="43"/>
      <c r="C1028" s="43"/>
      <c r="D1028" s="43"/>
      <c r="E1028" s="42"/>
    </row>
    <row r="1029" spans="1:5" ht="12.75" customHeight="1">
      <c r="A1029" s="43"/>
      <c r="B1029" s="43"/>
      <c r="C1029" s="43"/>
      <c r="D1029" s="43"/>
      <c r="E1029" s="42"/>
    </row>
    <row r="1030" spans="1:5" ht="12.75" customHeight="1">
      <c r="A1030" s="43"/>
      <c r="B1030" s="43"/>
      <c r="C1030" s="43"/>
      <c r="D1030" s="43"/>
      <c r="E1030" s="42"/>
    </row>
    <row r="1031" spans="1:5" ht="12.75" customHeight="1">
      <c r="A1031" s="43"/>
      <c r="B1031" s="43"/>
      <c r="C1031" s="43"/>
      <c r="D1031" s="43"/>
      <c r="E1031" s="42"/>
    </row>
    <row r="1032" spans="1:5" ht="12.75" customHeight="1">
      <c r="A1032" s="43"/>
      <c r="B1032" s="43"/>
      <c r="C1032" s="43"/>
      <c r="D1032" s="43"/>
      <c r="E1032" s="42"/>
    </row>
    <row r="1033" spans="1:5" ht="12.75" customHeight="1">
      <c r="A1033" s="43"/>
      <c r="B1033" s="43"/>
      <c r="C1033" s="43"/>
      <c r="D1033" s="43"/>
      <c r="E1033" s="42"/>
    </row>
    <row r="1034" spans="1:5" ht="12.75" customHeight="1">
      <c r="A1034" s="43"/>
      <c r="B1034" s="43"/>
      <c r="C1034" s="43"/>
      <c r="D1034" s="43"/>
      <c r="E1034" s="42"/>
    </row>
    <row r="1035" spans="1:5" ht="12.75" customHeight="1">
      <c r="A1035" s="43"/>
      <c r="B1035" s="43"/>
      <c r="C1035" s="43"/>
      <c r="D1035" s="43"/>
      <c r="E1035" s="42"/>
    </row>
    <row r="1036" spans="1:5" ht="12.75" customHeight="1">
      <c r="A1036" s="43"/>
      <c r="B1036" s="43"/>
      <c r="C1036" s="43"/>
      <c r="D1036" s="43"/>
      <c r="E1036" s="42"/>
    </row>
    <row r="1037" spans="1:5" ht="12.75" customHeight="1">
      <c r="A1037" s="43"/>
      <c r="B1037" s="43"/>
      <c r="C1037" s="43"/>
      <c r="D1037" s="43"/>
      <c r="E1037" s="42"/>
    </row>
    <row r="1038" spans="1:5" ht="12.75" customHeight="1">
      <c r="A1038" s="43"/>
      <c r="B1038" s="43"/>
      <c r="C1038" s="43"/>
      <c r="D1038" s="43"/>
      <c r="E1038" s="42"/>
    </row>
    <row r="1039" spans="1:5" ht="12.75" customHeight="1">
      <c r="A1039" s="43"/>
      <c r="B1039" s="43"/>
      <c r="C1039" s="43"/>
      <c r="D1039" s="43"/>
      <c r="E1039" s="42"/>
    </row>
    <row r="1040" spans="1:5" ht="12.75" customHeight="1">
      <c r="A1040" s="43"/>
      <c r="B1040" s="43"/>
      <c r="C1040" s="43"/>
      <c r="D1040" s="43"/>
      <c r="E1040" s="42"/>
    </row>
    <row r="1041" spans="1:5" ht="12.75" customHeight="1">
      <c r="A1041" s="43"/>
      <c r="B1041" s="43"/>
      <c r="C1041" s="43"/>
      <c r="D1041" s="43"/>
      <c r="E1041" s="42"/>
    </row>
    <row r="1042" spans="1:5" ht="12.75" customHeight="1">
      <c r="A1042" s="43"/>
      <c r="B1042" s="43"/>
      <c r="C1042" s="43"/>
      <c r="D1042" s="43"/>
      <c r="E1042" s="42"/>
    </row>
    <row r="1043" spans="1:5" ht="12.75" customHeight="1">
      <c r="A1043" s="43"/>
      <c r="B1043" s="43"/>
      <c r="C1043" s="43"/>
      <c r="D1043" s="43"/>
      <c r="E1043" s="42"/>
    </row>
    <row r="1044" spans="1:5" ht="12.75" customHeight="1">
      <c r="A1044" s="43"/>
      <c r="B1044" s="43"/>
      <c r="C1044" s="43"/>
      <c r="D1044" s="43"/>
      <c r="E1044" s="42"/>
    </row>
    <row r="1045" spans="1:5" ht="12.75" customHeight="1">
      <c r="A1045" s="43"/>
      <c r="B1045" s="43"/>
      <c r="C1045" s="43"/>
      <c r="D1045" s="43"/>
      <c r="E1045" s="42"/>
    </row>
    <row r="1046" spans="1:5" ht="12.75" customHeight="1">
      <c r="A1046" s="43"/>
      <c r="B1046" s="43"/>
      <c r="C1046" s="43"/>
      <c r="D1046" s="43"/>
      <c r="E1046" s="42"/>
    </row>
    <row r="1047" spans="1:5" ht="12.75" customHeight="1">
      <c r="A1047" s="43"/>
      <c r="B1047" s="43"/>
      <c r="C1047" s="43"/>
      <c r="D1047" s="43"/>
      <c r="E1047" s="42"/>
    </row>
    <row r="1048" spans="1:5" ht="12.75" customHeight="1">
      <c r="A1048" s="43"/>
      <c r="B1048" s="43"/>
      <c r="C1048" s="43"/>
      <c r="D1048" s="43"/>
      <c r="E1048" s="42"/>
    </row>
    <row r="1049" spans="1:5" ht="12.75" customHeight="1">
      <c r="A1049" s="43"/>
      <c r="B1049" s="43"/>
      <c r="C1049" s="43"/>
      <c r="D1049" s="43"/>
      <c r="E1049" s="42"/>
    </row>
    <row r="1050" spans="1:5" ht="12.75" customHeight="1">
      <c r="A1050" s="43"/>
      <c r="B1050" s="43"/>
      <c r="C1050" s="43"/>
      <c r="D1050" s="43"/>
      <c r="E1050" s="42"/>
    </row>
    <row r="1051" spans="1:5" ht="12.75" customHeight="1">
      <c r="A1051" s="43"/>
      <c r="B1051" s="43"/>
      <c r="C1051" s="43"/>
      <c r="D1051" s="43"/>
      <c r="E1051" s="42"/>
    </row>
    <row r="1052" spans="1:5" ht="12.75" customHeight="1">
      <c r="A1052" s="43"/>
      <c r="B1052" s="43"/>
      <c r="C1052" s="43"/>
      <c r="D1052" s="43"/>
      <c r="E1052" s="42"/>
    </row>
    <row r="1053" spans="1:5" ht="12.75" customHeight="1">
      <c r="A1053" s="43"/>
      <c r="B1053" s="43"/>
      <c r="C1053" s="43"/>
      <c r="D1053" s="43"/>
      <c r="E1053" s="42"/>
    </row>
    <row r="1054" spans="1:5" ht="12.75" customHeight="1">
      <c r="A1054" s="43"/>
      <c r="B1054" s="43"/>
      <c r="C1054" s="43"/>
      <c r="D1054" s="43"/>
      <c r="E1054" s="42"/>
    </row>
    <row r="1055" spans="1:5" ht="12.75" customHeight="1">
      <c r="A1055" s="43"/>
      <c r="B1055" s="43"/>
      <c r="C1055" s="43"/>
      <c r="D1055" s="43"/>
      <c r="E1055" s="42"/>
    </row>
    <row r="1056" spans="1:5" ht="12.75" customHeight="1">
      <c r="A1056" s="43"/>
      <c r="B1056" s="43"/>
      <c r="C1056" s="43"/>
      <c r="D1056" s="43"/>
      <c r="E1056" s="42"/>
    </row>
    <row r="1057" spans="1:5" ht="12.75" customHeight="1">
      <c r="A1057" s="43"/>
      <c r="B1057" s="43"/>
      <c r="C1057" s="43"/>
      <c r="D1057" s="43"/>
      <c r="E1057" s="42"/>
    </row>
    <row r="1058" spans="1:5" ht="12.75" customHeight="1">
      <c r="A1058" s="43"/>
      <c r="B1058" s="43"/>
      <c r="C1058" s="43"/>
      <c r="D1058" s="43"/>
      <c r="E1058" s="42"/>
    </row>
    <row r="1059" spans="1:5" ht="12.75" customHeight="1">
      <c r="A1059" s="43"/>
      <c r="B1059" s="43"/>
      <c r="C1059" s="43"/>
      <c r="D1059" s="43"/>
      <c r="E1059" s="42"/>
    </row>
    <row r="1060" spans="1:5" ht="12.75" customHeight="1">
      <c r="A1060" s="43"/>
      <c r="B1060" s="43"/>
      <c r="C1060" s="43"/>
      <c r="D1060" s="43"/>
      <c r="E1060" s="42"/>
    </row>
    <row r="1061" spans="1:5" ht="12.75" customHeight="1">
      <c r="A1061" s="43"/>
      <c r="B1061" s="43"/>
      <c r="C1061" s="43"/>
      <c r="D1061" s="43"/>
      <c r="E1061" s="42"/>
    </row>
    <row r="1062" spans="1:5" ht="12.75" customHeight="1">
      <c r="A1062" s="43"/>
      <c r="B1062" s="43"/>
      <c r="C1062" s="43"/>
      <c r="D1062" s="43"/>
      <c r="E1062" s="42"/>
    </row>
    <row r="1063" spans="1:5" ht="12.75" customHeight="1">
      <c r="A1063" s="43"/>
      <c r="B1063" s="43"/>
      <c r="C1063" s="43"/>
      <c r="D1063" s="43"/>
      <c r="E1063" s="42"/>
    </row>
    <row r="1064" spans="1:5" ht="12.75" customHeight="1">
      <c r="A1064" s="43"/>
      <c r="B1064" s="43"/>
      <c r="C1064" s="43"/>
      <c r="D1064" s="43"/>
      <c r="E1064" s="42"/>
    </row>
    <row r="1065" spans="1:5" ht="12.75" customHeight="1">
      <c r="A1065" s="43"/>
      <c r="B1065" s="43"/>
      <c r="C1065" s="43"/>
      <c r="D1065" s="43"/>
      <c r="E1065" s="42"/>
    </row>
    <row r="1066" spans="1:5" ht="12.75" customHeight="1">
      <c r="A1066" s="43"/>
      <c r="B1066" s="43"/>
      <c r="C1066" s="43"/>
      <c r="D1066" s="43"/>
      <c r="E1066" s="42"/>
    </row>
    <row r="1067" spans="1:5" ht="12.75" customHeight="1">
      <c r="A1067" s="43"/>
      <c r="B1067" s="43"/>
      <c r="C1067" s="43"/>
      <c r="D1067" s="43"/>
      <c r="E1067" s="42"/>
    </row>
    <row r="1068" spans="1:5" ht="12.75" customHeight="1">
      <c r="A1068" s="43"/>
      <c r="B1068" s="43"/>
      <c r="C1068" s="43"/>
      <c r="D1068" s="43"/>
      <c r="E1068" s="42"/>
    </row>
    <row r="1069" spans="1:5" ht="12.75" customHeight="1">
      <c r="A1069" s="43"/>
      <c r="B1069" s="43"/>
      <c r="C1069" s="43"/>
      <c r="D1069" s="43"/>
      <c r="E1069" s="42"/>
    </row>
    <row r="1070" spans="1:5" ht="12.75" customHeight="1">
      <c r="A1070" s="43"/>
      <c r="B1070" s="43"/>
      <c r="C1070" s="43"/>
      <c r="D1070" s="43"/>
      <c r="E1070" s="42"/>
    </row>
    <row r="1071" spans="1:5" ht="12.75" customHeight="1">
      <c r="A1071" s="43"/>
      <c r="B1071" s="43"/>
      <c r="C1071" s="43"/>
      <c r="D1071" s="43"/>
      <c r="E1071" s="42"/>
    </row>
    <row r="1072" spans="1:5" ht="12.75" customHeight="1">
      <c r="A1072" s="43"/>
      <c r="B1072" s="43"/>
      <c r="C1072" s="43"/>
      <c r="D1072" s="43"/>
      <c r="E1072" s="42"/>
    </row>
    <row r="1073" spans="1:5" ht="12.75" customHeight="1">
      <c r="A1073" s="43"/>
      <c r="B1073" s="43"/>
      <c r="C1073" s="43"/>
      <c r="D1073" s="43"/>
      <c r="E1073" s="42"/>
    </row>
    <row r="1074" spans="1:5" ht="12.75" customHeight="1">
      <c r="A1074" s="43"/>
      <c r="B1074" s="43"/>
      <c r="C1074" s="43"/>
      <c r="D1074" s="43"/>
      <c r="E1074" s="42"/>
    </row>
    <row r="1075" spans="1:5" ht="12.75" customHeight="1">
      <c r="A1075" s="43"/>
      <c r="B1075" s="43"/>
      <c r="C1075" s="43"/>
      <c r="D1075" s="43"/>
      <c r="E1075" s="42"/>
    </row>
    <row r="1076" spans="1:5" ht="12.75" customHeight="1">
      <c r="A1076" s="43"/>
      <c r="B1076" s="43"/>
      <c r="C1076" s="43"/>
      <c r="D1076" s="43"/>
      <c r="E1076" s="42"/>
    </row>
    <row r="1077" spans="1:5" ht="12.75" customHeight="1">
      <c r="A1077" s="43"/>
      <c r="B1077" s="43"/>
      <c r="C1077" s="43"/>
      <c r="D1077" s="43"/>
      <c r="E1077" s="42"/>
    </row>
    <row r="1078" spans="1:5" ht="12.75" customHeight="1">
      <c r="A1078" s="43"/>
      <c r="B1078" s="43"/>
      <c r="C1078" s="43"/>
      <c r="D1078" s="43"/>
      <c r="E1078" s="42"/>
    </row>
    <row r="1079" spans="1:5" ht="12.75" customHeight="1">
      <c r="A1079" s="43"/>
      <c r="B1079" s="43"/>
      <c r="C1079" s="43"/>
      <c r="D1079" s="43"/>
      <c r="E1079" s="42"/>
    </row>
    <row r="1080" spans="1:5" ht="12.75" customHeight="1">
      <c r="A1080" s="43"/>
      <c r="B1080" s="43"/>
      <c r="C1080" s="43"/>
      <c r="D1080" s="43"/>
      <c r="E1080" s="42"/>
    </row>
    <row r="1081" spans="1:5" ht="12.75" customHeight="1">
      <c r="A1081" s="43"/>
      <c r="B1081" s="43"/>
      <c r="C1081" s="43"/>
      <c r="D1081" s="43"/>
      <c r="E1081" s="42"/>
    </row>
    <row r="1082" spans="1:5" ht="12.75" customHeight="1">
      <c r="A1082" s="43"/>
      <c r="B1082" s="43"/>
      <c r="C1082" s="43"/>
      <c r="D1082" s="43"/>
      <c r="E1082" s="42"/>
    </row>
    <row r="1083" spans="1:5" ht="12.75" customHeight="1">
      <c r="A1083" s="43"/>
      <c r="B1083" s="43"/>
      <c r="C1083" s="43"/>
      <c r="D1083" s="43"/>
      <c r="E1083" s="42"/>
    </row>
    <row r="1084" spans="1:5" ht="12.75" customHeight="1">
      <c r="A1084" s="43"/>
      <c r="B1084" s="43"/>
      <c r="C1084" s="43"/>
      <c r="D1084" s="43"/>
      <c r="E1084" s="42"/>
    </row>
    <row r="1085" spans="1:5" ht="12.75" customHeight="1">
      <c r="A1085" s="43"/>
      <c r="B1085" s="43"/>
      <c r="C1085" s="43"/>
      <c r="D1085" s="43"/>
      <c r="E1085" s="42"/>
    </row>
    <row r="1086" spans="1:5" ht="12.75" customHeight="1">
      <c r="A1086" s="43"/>
      <c r="B1086" s="43"/>
      <c r="C1086" s="43"/>
      <c r="D1086" s="43"/>
      <c r="E1086" s="42"/>
    </row>
    <row r="1087" spans="1:5" ht="12.75" customHeight="1">
      <c r="A1087" s="43"/>
      <c r="B1087" s="43"/>
      <c r="C1087" s="43"/>
      <c r="D1087" s="43"/>
      <c r="E1087" s="42"/>
    </row>
    <row r="1088" spans="1:5" ht="12.75" customHeight="1">
      <c r="A1088" s="43"/>
      <c r="B1088" s="43"/>
      <c r="C1088" s="43"/>
      <c r="D1088" s="43"/>
      <c r="E1088" s="42"/>
    </row>
    <row r="1089" spans="1:5" ht="12.75" customHeight="1">
      <c r="A1089" s="43"/>
      <c r="B1089" s="43"/>
      <c r="C1089" s="43"/>
      <c r="D1089" s="43"/>
      <c r="E1089" s="42"/>
    </row>
    <row r="1090" spans="1:5" ht="12.75" customHeight="1">
      <c r="A1090" s="43"/>
      <c r="B1090" s="43"/>
      <c r="C1090" s="43"/>
      <c r="D1090" s="43"/>
      <c r="E1090" s="42"/>
    </row>
    <row r="1091" spans="1:5" ht="12.75" customHeight="1">
      <c r="A1091" s="43"/>
      <c r="B1091" s="43"/>
      <c r="C1091" s="43"/>
      <c r="D1091" s="43"/>
      <c r="E1091" s="42"/>
    </row>
    <row r="1092" spans="1:5" ht="12.75" customHeight="1">
      <c r="A1092" s="43"/>
      <c r="B1092" s="43"/>
      <c r="C1092" s="43"/>
      <c r="D1092" s="43"/>
      <c r="E1092" s="42"/>
    </row>
    <row r="1093" spans="1:5" ht="12.75" customHeight="1">
      <c r="A1093" s="43"/>
      <c r="B1093" s="43"/>
      <c r="C1093" s="43"/>
      <c r="D1093" s="43"/>
      <c r="E1093" s="42"/>
    </row>
    <row r="1094" spans="1:5" ht="12.75" customHeight="1">
      <c r="A1094" s="43"/>
      <c r="B1094" s="43"/>
      <c r="C1094" s="43"/>
      <c r="D1094" s="43"/>
      <c r="E1094" s="42"/>
    </row>
    <row r="1095" spans="1:5" ht="12.75" customHeight="1">
      <c r="A1095" s="43"/>
      <c r="B1095" s="43"/>
      <c r="C1095" s="43"/>
      <c r="D1095" s="43"/>
      <c r="E1095" s="42"/>
    </row>
    <row r="1096" spans="1:5" ht="12.75" customHeight="1">
      <c r="A1096" s="43"/>
      <c r="B1096" s="43"/>
      <c r="C1096" s="43"/>
      <c r="D1096" s="43"/>
      <c r="E1096" s="42"/>
    </row>
    <row r="1097" spans="1:5" ht="12.75" customHeight="1">
      <c r="A1097" s="43"/>
      <c r="B1097" s="43"/>
      <c r="C1097" s="43"/>
      <c r="D1097" s="43"/>
      <c r="E1097" s="42"/>
    </row>
    <row r="1098" spans="1:5" ht="12.75" customHeight="1">
      <c r="A1098" s="43"/>
      <c r="B1098" s="43"/>
      <c r="C1098" s="43"/>
      <c r="D1098" s="43"/>
      <c r="E1098" s="42"/>
    </row>
    <row r="1099" spans="1:5" ht="12.75" customHeight="1">
      <c r="A1099" s="43"/>
      <c r="B1099" s="43"/>
      <c r="C1099" s="43"/>
      <c r="D1099" s="43"/>
      <c r="E1099" s="42"/>
    </row>
    <row r="1100" spans="1:5" ht="12.75" customHeight="1">
      <c r="A1100" s="43"/>
      <c r="B1100" s="43"/>
      <c r="C1100" s="43"/>
      <c r="D1100" s="43"/>
      <c r="E1100" s="42"/>
    </row>
    <row r="1101" spans="1:5" ht="12.75" customHeight="1">
      <c r="A1101" s="43"/>
      <c r="B1101" s="43"/>
      <c r="C1101" s="43"/>
      <c r="D1101" s="43"/>
      <c r="E1101" s="42"/>
    </row>
    <row r="1102" spans="1:5" ht="12.75" customHeight="1">
      <c r="A1102" s="43"/>
      <c r="B1102" s="43"/>
      <c r="C1102" s="43"/>
      <c r="D1102" s="43"/>
      <c r="E1102" s="42"/>
    </row>
    <row r="1103" spans="1:5" ht="12.75" customHeight="1">
      <c r="A1103" s="43"/>
      <c r="B1103" s="43"/>
      <c r="C1103" s="43"/>
      <c r="D1103" s="43"/>
      <c r="E1103" s="42"/>
    </row>
    <row r="1104" spans="1:5" ht="12.75" customHeight="1">
      <c r="A1104" s="43"/>
      <c r="B1104" s="43"/>
      <c r="C1104" s="43"/>
      <c r="D1104" s="43"/>
      <c r="E1104" s="42"/>
    </row>
    <row r="1105" spans="1:5" ht="12.75" customHeight="1">
      <c r="A1105" s="43"/>
      <c r="B1105" s="43"/>
      <c r="C1105" s="43"/>
      <c r="D1105" s="43"/>
      <c r="E1105" s="42"/>
    </row>
    <row r="1106" spans="1:5" ht="12.75" customHeight="1">
      <c r="A1106" s="43"/>
      <c r="B1106" s="43"/>
      <c r="C1106" s="43"/>
      <c r="D1106" s="43"/>
      <c r="E1106" s="42"/>
    </row>
    <row r="1107" spans="1:5" ht="12.75" customHeight="1">
      <c r="A1107" s="43"/>
      <c r="B1107" s="43"/>
      <c r="C1107" s="43"/>
      <c r="D1107" s="43"/>
      <c r="E1107" s="42"/>
    </row>
    <row r="1108" spans="1:5" ht="12.75" customHeight="1">
      <c r="A1108" s="43"/>
      <c r="B1108" s="43"/>
      <c r="C1108" s="43"/>
      <c r="D1108" s="43"/>
      <c r="E1108" s="42"/>
    </row>
    <row r="1109" spans="1:5" ht="12.75" customHeight="1">
      <c r="A1109" s="43"/>
      <c r="B1109" s="43"/>
      <c r="C1109" s="43"/>
      <c r="D1109" s="43"/>
      <c r="E1109" s="42"/>
    </row>
    <row r="1110" spans="1:5" ht="12.75" customHeight="1">
      <c r="A1110" s="43"/>
      <c r="B1110" s="43"/>
      <c r="C1110" s="43"/>
      <c r="D1110" s="43"/>
      <c r="E1110" s="42"/>
    </row>
    <row r="1111" spans="1:5" ht="12.75" customHeight="1">
      <c r="A1111" s="43"/>
      <c r="B1111" s="43"/>
      <c r="C1111" s="43"/>
      <c r="D1111" s="43"/>
      <c r="E1111" s="42"/>
    </row>
    <row r="1112" spans="1:5" ht="12.75" customHeight="1">
      <c r="A1112" s="43"/>
      <c r="B1112" s="43"/>
      <c r="C1112" s="43"/>
      <c r="D1112" s="43"/>
      <c r="E1112" s="42"/>
    </row>
    <row r="1113" spans="1:5" ht="12.75" customHeight="1">
      <c r="A1113" s="43"/>
      <c r="B1113" s="43"/>
      <c r="C1113" s="43"/>
      <c r="D1113" s="43"/>
      <c r="E1113" s="42"/>
    </row>
    <row r="1114" spans="1:5" ht="12.75" customHeight="1">
      <c r="A1114" s="43"/>
      <c r="B1114" s="43"/>
      <c r="C1114" s="43"/>
      <c r="D1114" s="43"/>
      <c r="E1114" s="42"/>
    </row>
    <row r="1115" spans="1:5" ht="12.75" customHeight="1">
      <c r="A1115" s="43"/>
      <c r="B1115" s="43"/>
      <c r="C1115" s="43"/>
      <c r="D1115" s="43"/>
      <c r="E1115" s="42"/>
    </row>
    <row r="1116" spans="1:5" ht="12.75" customHeight="1">
      <c r="A1116" s="43"/>
      <c r="B1116" s="43"/>
      <c r="C1116" s="43"/>
      <c r="D1116" s="43"/>
      <c r="E1116" s="42"/>
    </row>
    <row r="1117" spans="1:5" ht="12.75" customHeight="1">
      <c r="A1117" s="43"/>
      <c r="B1117" s="43"/>
      <c r="C1117" s="43"/>
      <c r="D1117" s="43"/>
      <c r="E1117" s="42"/>
    </row>
    <row r="1118" spans="1:5" ht="12.75" customHeight="1">
      <c r="A1118" s="43"/>
      <c r="B1118" s="43"/>
      <c r="C1118" s="43"/>
      <c r="D1118" s="43"/>
      <c r="E1118" s="42"/>
    </row>
    <row r="1119" spans="1:5" ht="12.75" customHeight="1">
      <c r="A1119" s="43"/>
      <c r="B1119" s="43"/>
      <c r="C1119" s="43"/>
      <c r="D1119" s="43"/>
      <c r="E1119" s="42"/>
    </row>
    <row r="1120" spans="1:5" ht="12.75" customHeight="1">
      <c r="A1120" s="43"/>
      <c r="B1120" s="43"/>
      <c r="C1120" s="43"/>
      <c r="D1120" s="43"/>
      <c r="E1120" s="42"/>
    </row>
    <row r="1121" spans="1:5" ht="12.75" customHeight="1">
      <c r="A1121" s="43"/>
      <c r="B1121" s="43"/>
      <c r="C1121" s="43"/>
      <c r="D1121" s="43"/>
      <c r="E1121" s="42"/>
    </row>
    <row r="1122" spans="1:5" ht="12.75" customHeight="1">
      <c r="A1122" s="43"/>
      <c r="B1122" s="43"/>
      <c r="C1122" s="43"/>
      <c r="D1122" s="43"/>
      <c r="E1122" s="42"/>
    </row>
    <row r="1123" spans="1:5" ht="12.75" customHeight="1">
      <c r="A1123" s="43"/>
      <c r="B1123" s="43"/>
      <c r="C1123" s="43"/>
      <c r="D1123" s="43"/>
      <c r="E1123" s="42"/>
    </row>
    <row r="1124" spans="1:5" ht="12.75" customHeight="1">
      <c r="A1124" s="43"/>
      <c r="B1124" s="43"/>
      <c r="C1124" s="43"/>
      <c r="D1124" s="43"/>
      <c r="E1124" s="42"/>
    </row>
    <row r="1125" spans="1:5" ht="12.75" customHeight="1">
      <c r="A1125" s="43"/>
      <c r="B1125" s="43"/>
      <c r="C1125" s="43"/>
      <c r="D1125" s="43"/>
      <c r="E1125" s="42"/>
    </row>
    <row r="1126" spans="1:5" ht="12.75" customHeight="1">
      <c r="A1126" s="43"/>
      <c r="B1126" s="43"/>
      <c r="C1126" s="43"/>
      <c r="D1126" s="43"/>
      <c r="E1126" s="42"/>
    </row>
    <row r="1127" spans="1:5" ht="12.75" customHeight="1">
      <c r="A1127" s="43"/>
      <c r="B1127" s="43"/>
      <c r="C1127" s="43"/>
      <c r="D1127" s="43"/>
      <c r="E1127" s="42"/>
    </row>
    <row r="1128" spans="1:5" ht="12.75" customHeight="1">
      <c r="A1128" s="43"/>
      <c r="B1128" s="43"/>
      <c r="C1128" s="43"/>
      <c r="D1128" s="43"/>
      <c r="E1128" s="42"/>
    </row>
    <row r="1129" spans="1:5" ht="12.75" customHeight="1">
      <c r="A1129" s="43"/>
      <c r="B1129" s="43"/>
      <c r="C1129" s="43"/>
      <c r="D1129" s="43"/>
      <c r="E1129" s="42"/>
    </row>
    <row r="1130" spans="1:5" ht="12.75" customHeight="1">
      <c r="A1130" s="43"/>
      <c r="B1130" s="43"/>
      <c r="C1130" s="43"/>
      <c r="D1130" s="43"/>
      <c r="E1130" s="42"/>
    </row>
    <row r="1131" spans="1:5" ht="12.75" customHeight="1">
      <c r="A1131" s="43"/>
      <c r="B1131" s="43"/>
      <c r="C1131" s="43"/>
      <c r="D1131" s="43"/>
      <c r="E1131" s="42"/>
    </row>
    <row r="1132" spans="1:5" ht="12.75" customHeight="1">
      <c r="A1132" s="43"/>
      <c r="B1132" s="43"/>
      <c r="C1132" s="43"/>
      <c r="D1132" s="43"/>
      <c r="E1132" s="42"/>
    </row>
    <row r="1133" spans="1:5" ht="12.75" customHeight="1">
      <c r="A1133" s="43"/>
      <c r="B1133" s="43"/>
      <c r="C1133" s="43"/>
      <c r="D1133" s="43"/>
      <c r="E1133" s="42"/>
    </row>
    <row r="1134" spans="1:5" ht="12.75" customHeight="1">
      <c r="A1134" s="43"/>
      <c r="B1134" s="43"/>
      <c r="C1134" s="43"/>
      <c r="D1134" s="43"/>
      <c r="E1134" s="42"/>
    </row>
    <row r="1135" spans="1:5" ht="12.75" customHeight="1">
      <c r="A1135" s="43"/>
      <c r="B1135" s="43"/>
      <c r="C1135" s="43"/>
      <c r="D1135" s="43"/>
      <c r="E1135" s="42"/>
    </row>
    <row r="1136" spans="1:5" ht="12.75" customHeight="1">
      <c r="A1136" s="43"/>
      <c r="B1136" s="43"/>
      <c r="C1136" s="43"/>
      <c r="D1136" s="43"/>
      <c r="E1136" s="42"/>
    </row>
    <row r="1137" spans="1:5" ht="12.75" customHeight="1">
      <c r="A1137" s="43"/>
      <c r="B1137" s="43"/>
      <c r="C1137" s="43"/>
      <c r="D1137" s="43"/>
      <c r="E1137" s="42"/>
    </row>
    <row r="1138" spans="1:5" ht="12.75" customHeight="1">
      <c r="A1138" s="43"/>
      <c r="B1138" s="43"/>
      <c r="C1138" s="43"/>
      <c r="D1138" s="43"/>
      <c r="E1138" s="42"/>
    </row>
    <row r="1139" spans="1:5" ht="12.75" customHeight="1">
      <c r="A1139" s="43"/>
      <c r="B1139" s="43"/>
      <c r="C1139" s="43"/>
      <c r="D1139" s="43"/>
      <c r="E1139" s="42"/>
    </row>
    <row r="1140" spans="1:5" ht="12.75" customHeight="1">
      <c r="A1140" s="43"/>
      <c r="B1140" s="43"/>
      <c r="C1140" s="43"/>
      <c r="D1140" s="43"/>
      <c r="E1140" s="42"/>
    </row>
    <row r="1141" spans="1:5" ht="12.75" customHeight="1">
      <c r="A1141" s="43"/>
      <c r="B1141" s="43"/>
      <c r="C1141" s="43"/>
      <c r="D1141" s="43"/>
      <c r="E1141" s="42"/>
    </row>
    <row r="1142" spans="1:5" ht="12.75" customHeight="1">
      <c r="A1142" s="43"/>
      <c r="B1142" s="43"/>
      <c r="C1142" s="43"/>
      <c r="D1142" s="43"/>
      <c r="E1142" s="42"/>
    </row>
    <row r="1143" spans="1:5" ht="12.75" customHeight="1">
      <c r="A1143" s="43"/>
      <c r="B1143" s="43"/>
      <c r="C1143" s="43"/>
      <c r="D1143" s="43"/>
      <c r="E1143" s="42"/>
    </row>
    <row r="1144" spans="1:5" ht="12.75" customHeight="1">
      <c r="A1144" s="43"/>
      <c r="B1144" s="43"/>
      <c r="C1144" s="43"/>
      <c r="D1144" s="43"/>
      <c r="E1144" s="42"/>
    </row>
    <row r="1145" spans="1:5" ht="12.75" customHeight="1">
      <c r="A1145" s="43"/>
      <c r="B1145" s="43"/>
      <c r="C1145" s="43"/>
      <c r="D1145" s="43"/>
      <c r="E1145" s="42"/>
    </row>
    <row r="1146" spans="1:5" ht="12.75" customHeight="1">
      <c r="A1146" s="43"/>
      <c r="B1146" s="43"/>
      <c r="C1146" s="43"/>
      <c r="D1146" s="43"/>
      <c r="E1146" s="42"/>
    </row>
    <row r="1147" spans="1:5" ht="12.75" customHeight="1">
      <c r="A1147" s="43"/>
      <c r="B1147" s="43"/>
      <c r="C1147" s="43"/>
      <c r="D1147" s="43"/>
      <c r="E1147" s="42"/>
    </row>
    <row r="1148" spans="1:5" ht="12.75" customHeight="1">
      <c r="A1148" s="43"/>
      <c r="B1148" s="43"/>
      <c r="C1148" s="43"/>
      <c r="D1148" s="43"/>
      <c r="E1148" s="42"/>
    </row>
    <row r="1149" spans="1:5" ht="12.75" customHeight="1">
      <c r="A1149" s="43"/>
      <c r="B1149" s="43"/>
      <c r="C1149" s="43"/>
      <c r="D1149" s="43"/>
      <c r="E1149" s="42"/>
    </row>
    <row r="1150" spans="1:5" ht="12.75" customHeight="1">
      <c r="A1150" s="43"/>
      <c r="B1150" s="43"/>
      <c r="C1150" s="43"/>
      <c r="D1150" s="43"/>
      <c r="E1150" s="42"/>
    </row>
    <row r="1151" spans="1:5" ht="12.75" customHeight="1">
      <c r="A1151" s="43"/>
      <c r="B1151" s="43"/>
      <c r="C1151" s="43"/>
      <c r="D1151" s="43"/>
      <c r="E1151" s="42"/>
    </row>
    <row r="1152" spans="1:5" ht="12.75" customHeight="1">
      <c r="A1152" s="43"/>
      <c r="B1152" s="43"/>
      <c r="C1152" s="43"/>
      <c r="D1152" s="43"/>
      <c r="E1152" s="42"/>
    </row>
    <row r="1153" spans="1:5" ht="12.75" customHeight="1">
      <c r="A1153" s="43"/>
      <c r="B1153" s="43"/>
      <c r="C1153" s="43"/>
      <c r="D1153" s="43"/>
      <c r="E1153" s="42"/>
    </row>
    <row r="1154" spans="1:5" ht="12.75" customHeight="1">
      <c r="A1154" s="43"/>
      <c r="B1154" s="43"/>
      <c r="C1154" s="43"/>
      <c r="D1154" s="43"/>
      <c r="E1154" s="42"/>
    </row>
    <row r="1155" spans="1:5" ht="12.75" customHeight="1">
      <c r="A1155" s="43"/>
      <c r="B1155" s="43"/>
      <c r="C1155" s="43"/>
      <c r="D1155" s="43"/>
      <c r="E1155" s="42"/>
    </row>
    <row r="1156" spans="1:5" ht="12.75" customHeight="1">
      <c r="A1156" s="43"/>
      <c r="B1156" s="43"/>
      <c r="C1156" s="43"/>
      <c r="D1156" s="43"/>
      <c r="E1156" s="42"/>
    </row>
    <row r="1157" spans="1:5" ht="12.75" customHeight="1">
      <c r="A1157" s="43"/>
      <c r="B1157" s="43"/>
      <c r="C1157" s="43"/>
      <c r="D1157" s="43"/>
      <c r="E1157" s="42"/>
    </row>
    <row r="1158" spans="1:5" ht="12.75" customHeight="1">
      <c r="A1158" s="43"/>
      <c r="B1158" s="43"/>
      <c r="C1158" s="43"/>
      <c r="D1158" s="43"/>
      <c r="E1158" s="42"/>
    </row>
    <row r="1159" spans="1:5" ht="12.75" customHeight="1">
      <c r="A1159" s="43"/>
      <c r="B1159" s="43"/>
      <c r="C1159" s="43"/>
      <c r="D1159" s="43"/>
      <c r="E1159" s="42"/>
    </row>
    <row r="1160" spans="1:5" ht="12.75" customHeight="1">
      <c r="A1160" s="43"/>
      <c r="B1160" s="43"/>
      <c r="C1160" s="43"/>
      <c r="D1160" s="43"/>
      <c r="E1160" s="42"/>
    </row>
    <row r="1161" spans="1:5" ht="12.75" customHeight="1">
      <c r="A1161" s="43"/>
      <c r="B1161" s="43"/>
      <c r="C1161" s="43"/>
      <c r="D1161" s="43"/>
      <c r="E1161" s="42"/>
    </row>
    <row r="1162" spans="1:5" ht="12.75" customHeight="1">
      <c r="A1162" s="43"/>
      <c r="B1162" s="43"/>
      <c r="C1162" s="43"/>
      <c r="D1162" s="43"/>
      <c r="E1162" s="42"/>
    </row>
    <row r="1163" spans="1:5" ht="12.75" customHeight="1">
      <c r="A1163" s="43"/>
      <c r="B1163" s="43"/>
      <c r="C1163" s="43"/>
      <c r="D1163" s="43"/>
      <c r="E1163" s="42"/>
    </row>
    <row r="1164" spans="1:5" ht="12.75" customHeight="1">
      <c r="A1164" s="43"/>
      <c r="B1164" s="43"/>
      <c r="C1164" s="43"/>
      <c r="D1164" s="43"/>
      <c r="E1164" s="42"/>
    </row>
    <row r="1165" spans="1:5" ht="12.75" customHeight="1">
      <c r="A1165" s="43"/>
      <c r="B1165" s="43"/>
      <c r="C1165" s="43"/>
      <c r="D1165" s="43"/>
      <c r="E1165" s="42"/>
    </row>
    <row r="1166" spans="1:5" ht="12.75" customHeight="1">
      <c r="A1166" s="43"/>
      <c r="B1166" s="43"/>
      <c r="C1166" s="43"/>
      <c r="D1166" s="43"/>
      <c r="E1166" s="42"/>
    </row>
    <row r="1167" spans="1:5" ht="12.75" customHeight="1">
      <c r="A1167" s="43"/>
      <c r="B1167" s="43"/>
      <c r="C1167" s="43"/>
      <c r="D1167" s="43"/>
      <c r="E1167" s="42"/>
    </row>
    <row r="1168" spans="1:5" ht="12.75" customHeight="1">
      <c r="A1168" s="43"/>
      <c r="B1168" s="43"/>
      <c r="C1168" s="43"/>
      <c r="D1168" s="43"/>
      <c r="E1168" s="42"/>
    </row>
    <row r="1169" spans="1:5" ht="12.75" customHeight="1">
      <c r="A1169" s="43"/>
      <c r="B1169" s="43"/>
      <c r="C1169" s="43"/>
      <c r="D1169" s="43"/>
      <c r="E1169" s="42"/>
    </row>
    <row r="1170" spans="1:5" ht="12.75" customHeight="1">
      <c r="A1170" s="43"/>
      <c r="B1170" s="43"/>
      <c r="C1170" s="43"/>
      <c r="D1170" s="43"/>
      <c r="E1170" s="42"/>
    </row>
    <row r="1171" spans="1:5" ht="12.75" customHeight="1">
      <c r="A1171" s="43"/>
      <c r="B1171" s="43"/>
      <c r="C1171" s="43"/>
      <c r="D1171" s="43"/>
      <c r="E1171" s="42"/>
    </row>
    <row r="1172" spans="1:5" ht="12.75" customHeight="1">
      <c r="A1172" s="43"/>
      <c r="B1172" s="43"/>
      <c r="C1172" s="43"/>
      <c r="D1172" s="43"/>
      <c r="E1172" s="42"/>
    </row>
    <row r="1173" spans="1:5" ht="12.75" customHeight="1">
      <c r="A1173" s="43"/>
      <c r="B1173" s="43"/>
      <c r="C1173" s="43"/>
      <c r="D1173" s="43"/>
      <c r="E1173" s="42"/>
    </row>
    <row r="1174" spans="1:5" ht="12.75" customHeight="1">
      <c r="A1174" s="43"/>
      <c r="B1174" s="43"/>
      <c r="C1174" s="43"/>
      <c r="D1174" s="43"/>
      <c r="E1174" s="42"/>
    </row>
    <row r="1175" spans="1:5" ht="12.75" customHeight="1">
      <c r="A1175" s="43"/>
      <c r="B1175" s="43"/>
      <c r="C1175" s="43"/>
      <c r="D1175" s="43"/>
      <c r="E1175" s="42"/>
    </row>
    <row r="1176" spans="1:5" ht="12.75" customHeight="1">
      <c r="A1176" s="43"/>
      <c r="B1176" s="43"/>
      <c r="C1176" s="43"/>
      <c r="D1176" s="43"/>
      <c r="E1176" s="42"/>
    </row>
    <row r="1177" spans="1:5" ht="12.75" customHeight="1">
      <c r="A1177" s="43"/>
      <c r="B1177" s="43"/>
      <c r="C1177" s="43"/>
      <c r="D1177" s="43"/>
      <c r="E1177" s="42"/>
    </row>
    <row r="1178" spans="1:5" ht="12.75" customHeight="1">
      <c r="A1178" s="43"/>
      <c r="B1178" s="43"/>
      <c r="C1178" s="43"/>
      <c r="D1178" s="43"/>
      <c r="E1178" s="42"/>
    </row>
    <row r="1179" spans="1:5" ht="12.75" customHeight="1">
      <c r="A1179" s="43"/>
      <c r="B1179" s="43"/>
      <c r="C1179" s="43"/>
      <c r="D1179" s="43"/>
      <c r="E1179" s="42"/>
    </row>
    <row r="1180" spans="1:5" ht="12.75" customHeight="1">
      <c r="A1180" s="43"/>
      <c r="B1180" s="43"/>
      <c r="C1180" s="43"/>
      <c r="D1180" s="43"/>
      <c r="E1180" s="42"/>
    </row>
    <row r="1181" spans="1:5" ht="12.75" customHeight="1">
      <c r="A1181" s="43"/>
      <c r="B1181" s="43"/>
      <c r="C1181" s="43"/>
      <c r="D1181" s="43"/>
      <c r="E1181" s="42"/>
    </row>
    <row r="1182" spans="1:5" ht="12.75" customHeight="1">
      <c r="A1182" s="43"/>
      <c r="B1182" s="43"/>
      <c r="C1182" s="43"/>
      <c r="D1182" s="43"/>
      <c r="E1182" s="42"/>
    </row>
    <row r="1183" spans="1:5" ht="12.75" customHeight="1">
      <c r="A1183" s="43"/>
      <c r="B1183" s="43"/>
      <c r="C1183" s="43"/>
      <c r="D1183" s="43"/>
      <c r="E1183" s="42"/>
    </row>
    <row r="1184" spans="1:5" ht="12.75" customHeight="1">
      <c r="A1184" s="43"/>
      <c r="B1184" s="43"/>
      <c r="C1184" s="43"/>
      <c r="D1184" s="43"/>
      <c r="E1184" s="42"/>
    </row>
    <row r="1185" spans="1:5" ht="12.75" customHeight="1">
      <c r="A1185" s="43"/>
      <c r="B1185" s="43"/>
      <c r="C1185" s="43"/>
      <c r="D1185" s="43"/>
      <c r="E1185" s="42"/>
    </row>
    <row r="1186" spans="1:5" ht="12.75" customHeight="1">
      <c r="A1186" s="43"/>
      <c r="B1186" s="43"/>
      <c r="C1186" s="43"/>
      <c r="D1186" s="43"/>
      <c r="E1186" s="42"/>
    </row>
    <row r="1187" spans="1:5" ht="12.75" customHeight="1">
      <c r="A1187" s="43"/>
      <c r="B1187" s="43"/>
      <c r="C1187" s="43"/>
      <c r="D1187" s="43"/>
      <c r="E1187" s="42"/>
    </row>
    <row r="1188" spans="1:5" ht="12.75" customHeight="1">
      <c r="A1188" s="43"/>
      <c r="B1188" s="43"/>
      <c r="C1188" s="43"/>
      <c r="D1188" s="43"/>
      <c r="E1188" s="42"/>
    </row>
    <row r="1189" spans="1:5" ht="12.75" customHeight="1">
      <c r="A1189" s="43"/>
      <c r="B1189" s="43"/>
      <c r="C1189" s="43"/>
      <c r="D1189" s="43"/>
      <c r="E1189" s="42"/>
    </row>
    <row r="1190" spans="1:5" ht="12.75" customHeight="1">
      <c r="A1190" s="43"/>
      <c r="B1190" s="43"/>
      <c r="C1190" s="43"/>
      <c r="D1190" s="43"/>
      <c r="E1190" s="42"/>
    </row>
    <row r="1191" spans="1:5" ht="12.75" customHeight="1">
      <c r="A1191" s="43"/>
      <c r="B1191" s="43"/>
      <c r="C1191" s="43"/>
      <c r="D1191" s="43"/>
      <c r="E1191" s="42"/>
    </row>
    <row r="1192" spans="1:5">
      <c r="D1192" s="25"/>
    </row>
    <row r="1193" spans="1:5">
      <c r="A1193" s="24"/>
      <c r="C1193" s="24" t="s">
        <v>356</v>
      </c>
    </row>
    <row r="1194" spans="1:5">
      <c r="A1194" s="24"/>
      <c r="C1194" s="24" t="s">
        <v>354</v>
      </c>
    </row>
    <row r="1195" spans="1:5">
      <c r="C1195" s="24" t="s">
        <v>357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A1:F9"/>
  <sheetViews>
    <sheetView zoomScale="95" zoomScaleNormal="95" workbookViewId="0">
      <selection activeCell="E8" sqref="E8"/>
    </sheetView>
  </sheetViews>
  <sheetFormatPr defaultColWidth="9.140625" defaultRowHeight="12.75"/>
  <cols>
    <col min="1" max="5" width="35.7109375" style="7" customWidth="1"/>
    <col min="6" max="16384" width="9.140625" style="7"/>
  </cols>
  <sheetData>
    <row r="1" spans="1:6" ht="38.25" customHeight="1">
      <c r="A1" s="10" t="s">
        <v>1</v>
      </c>
      <c r="B1" s="6" t="s">
        <v>365</v>
      </c>
      <c r="C1" s="10" t="s">
        <v>366</v>
      </c>
      <c r="D1" s="6" t="s">
        <v>367</v>
      </c>
      <c r="E1" s="8" t="s">
        <v>368</v>
      </c>
    </row>
    <row r="2" spans="1:6" ht="12.75" customHeight="1">
      <c r="A2" s="12" t="str">
        <f>Input!F14</f>
        <v>GP</v>
      </c>
      <c r="B2" s="13">
        <f>B8/145.03773800722/0.0254</f>
        <v>81.434141102361153</v>
      </c>
      <c r="C2" s="40">
        <f>ROUND(Input!F16,0)</f>
        <v>15</v>
      </c>
      <c r="D2" s="13">
        <f>D8/0.14503773800722</f>
        <v>19994.796111999745</v>
      </c>
      <c r="E2" s="5">
        <f>E8/145.03773800722/0.0254</f>
        <v>0</v>
      </c>
    </row>
    <row r="3" spans="1:6">
      <c r="F3" s="44"/>
    </row>
    <row r="6" spans="1:6">
      <c r="A6" s="48" t="s">
        <v>373</v>
      </c>
    </row>
    <row r="7" spans="1:6" ht="38.25" customHeight="1">
      <c r="A7" s="45" t="s">
        <v>1</v>
      </c>
      <c r="B7" s="46" t="s">
        <v>369</v>
      </c>
      <c r="C7" s="45" t="s">
        <v>370</v>
      </c>
      <c r="D7" s="46" t="s">
        <v>371</v>
      </c>
      <c r="E7" s="47" t="s">
        <v>372</v>
      </c>
    </row>
    <row r="8" spans="1:6" ht="12.75" customHeight="1">
      <c r="A8" s="41" t="str">
        <f>Input!F14</f>
        <v>GP</v>
      </c>
      <c r="B8" s="41">
        <f>IF(OR(A8="A-1-a",A8="A-2-4",A8="A-2-5",A8="GW",A8="GP",A8="GM",A8="SM"),300,IF(OR(A8="A-1-b",A8="SW"),200,IF(OR(A8="A-3",A8="A-2-6",A8="A-2-7",A8="SP",A8="GC",A8="SC"),150,IF(OR(A8="A-7-6",A8="CH",A8="OH"),50,IF(OR(A8="A-4",A8="A-5",A8="A-6",A8="A-7-5",A8="ML",A8="OL",A8="MH",A8="CL"),25)))))</f>
        <v>300</v>
      </c>
      <c r="C8" s="41">
        <f>ROUND(Input!F16/2.54,0)</f>
        <v>6</v>
      </c>
      <c r="D8" s="41">
        <f>IF(D9&lt;=100,ROUND(D9,-1),IF(AND(D9&gt;100,D9&lt;1000,MOD(D9,50)&lt;25),D9-MOD(D9,50),IF(AND(D9&gt;100,D9&lt;1000,MOD(D9,50)&gt;=25),D9+50-MOD(D9,50),IF(D9&gt;=1000,ROUND(D9,-2)))))</f>
        <v>2900</v>
      </c>
      <c r="E8" s="5">
        <f>DSUM('K-Table'!A1:D1191,4,'Composite K'!B7:D8)</f>
        <v>0</v>
      </c>
    </row>
    <row r="9" spans="1:6">
      <c r="D9" s="49">
        <f>Input!F17*0.14503773800722</f>
        <v>2900.7547601443998</v>
      </c>
    </row>
  </sheetData>
  <phoneticPr fontId="2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6DC6-6FBC-4F6B-95A0-DB035D71AFE1}">
  <sheetPr codeName="Sheet1">
    <tabColor theme="3" tint="0.59999389629810485"/>
  </sheetPr>
  <dimension ref="A1:G82"/>
  <sheetViews>
    <sheetView topLeftCell="B1" workbookViewId="0">
      <selection activeCell="G2" sqref="G2"/>
    </sheetView>
  </sheetViews>
  <sheetFormatPr defaultColWidth="9.140625" defaultRowHeight="12.75"/>
  <cols>
    <col min="1" max="4" width="35.7109375" style="65" customWidth="1"/>
    <col min="5" max="5" width="35.7109375" style="65" hidden="1" customWidth="1"/>
    <col min="6" max="7" width="35.7109375" style="65" customWidth="1"/>
  </cols>
  <sheetData>
    <row r="1" spans="1:7" s="7" customFormat="1" ht="38.25" customHeight="1">
      <c r="A1" s="6" t="s">
        <v>375</v>
      </c>
      <c r="B1" s="6" t="s">
        <v>378</v>
      </c>
      <c r="C1" s="6" t="s">
        <v>508</v>
      </c>
      <c r="D1" s="6" t="s">
        <v>377</v>
      </c>
      <c r="E1" s="6" t="s">
        <v>506</v>
      </c>
      <c r="F1" s="6" t="s">
        <v>510</v>
      </c>
      <c r="G1" s="6" t="s">
        <v>509</v>
      </c>
    </row>
    <row r="2" spans="1:7">
      <c r="A2" s="66">
        <v>1</v>
      </c>
      <c r="B2" s="66">
        <v>30</v>
      </c>
      <c r="C2" s="66">
        <v>100</v>
      </c>
      <c r="D2" s="66">
        <v>10</v>
      </c>
      <c r="E2" s="66" t="str">
        <f>CONCATENATE(A2,B2,C2,D2)</f>
        <v>13010010</v>
      </c>
      <c r="F2" s="66">
        <v>54</v>
      </c>
      <c r="G2" s="66">
        <f>ROUND(Stress!$B$5/(('S-Table'!$F2/48)/225000)^0.25,2)</f>
        <v>105.74</v>
      </c>
    </row>
    <row r="3" spans="1:7">
      <c r="A3" s="66">
        <v>2</v>
      </c>
      <c r="B3" s="66">
        <v>30</v>
      </c>
      <c r="C3" s="66">
        <v>100</v>
      </c>
      <c r="D3" s="66">
        <v>10</v>
      </c>
      <c r="E3" s="66" t="str">
        <f t="shared" ref="E3:E66" si="0">CONCATENATE(A3,B3,C3,D3)</f>
        <v>23010010</v>
      </c>
      <c r="F3" s="66">
        <v>58</v>
      </c>
      <c r="G3" s="66">
        <f>ROUND(Stress!$B$5/(('S-Table'!$F3/48)/225000)^0.25,2)</f>
        <v>103.86</v>
      </c>
    </row>
    <row r="4" spans="1:7">
      <c r="A4" s="66">
        <v>3</v>
      </c>
      <c r="B4" s="66">
        <v>30</v>
      </c>
      <c r="C4" s="66">
        <v>100</v>
      </c>
      <c r="D4" s="66">
        <v>10</v>
      </c>
      <c r="E4" s="66" t="str">
        <f t="shared" si="0"/>
        <v>33010010</v>
      </c>
      <c r="F4" s="66">
        <v>60</v>
      </c>
      <c r="G4" s="66">
        <f>ROUND(Stress!$B$5/(('S-Table'!$F4/48)/225000)^0.25,2)</f>
        <v>102.99</v>
      </c>
    </row>
    <row r="5" spans="1:7">
      <c r="A5" s="66">
        <v>1</v>
      </c>
      <c r="B5" s="66">
        <v>30</v>
      </c>
      <c r="C5" s="66">
        <v>100</v>
      </c>
      <c r="D5" s="66">
        <v>15</v>
      </c>
      <c r="E5" s="66" t="str">
        <f t="shared" si="0"/>
        <v>13010015</v>
      </c>
      <c r="F5" s="66">
        <v>72</v>
      </c>
      <c r="G5" s="66">
        <f>ROUND(Stress!$B$5/(('S-Table'!$F5/48)/225000)^0.25,2)</f>
        <v>98.4</v>
      </c>
    </row>
    <row r="6" spans="1:7">
      <c r="A6" s="66">
        <v>2</v>
      </c>
      <c r="B6" s="66">
        <v>30</v>
      </c>
      <c r="C6" s="66">
        <v>100</v>
      </c>
      <c r="D6" s="66">
        <v>15</v>
      </c>
      <c r="E6" s="66" t="str">
        <f t="shared" si="0"/>
        <v>23010015</v>
      </c>
      <c r="F6" s="66">
        <v>78</v>
      </c>
      <c r="G6" s="66">
        <f>ROUND(Stress!$B$5/(('S-Table'!$F6/48)/225000)^0.25,2)</f>
        <v>96.45</v>
      </c>
    </row>
    <row r="7" spans="1:7">
      <c r="A7" s="66">
        <v>3</v>
      </c>
      <c r="B7" s="66">
        <v>30</v>
      </c>
      <c r="C7" s="66">
        <v>100</v>
      </c>
      <c r="D7" s="66">
        <v>15</v>
      </c>
      <c r="E7" s="66" t="str">
        <f t="shared" si="0"/>
        <v>33010015</v>
      </c>
      <c r="F7" s="66">
        <v>82</v>
      </c>
      <c r="G7" s="66">
        <f>ROUND(Stress!$B$5/(('S-Table'!$F7/48)/225000)^0.25,2)</f>
        <v>95.25</v>
      </c>
    </row>
    <row r="8" spans="1:7">
      <c r="A8" s="66">
        <v>1</v>
      </c>
      <c r="B8" s="66">
        <v>30</v>
      </c>
      <c r="C8" s="66">
        <v>100</v>
      </c>
      <c r="D8" s="66">
        <v>20</v>
      </c>
      <c r="E8" s="66" t="str">
        <f t="shared" si="0"/>
        <v>13010020</v>
      </c>
      <c r="F8" s="66">
        <v>182</v>
      </c>
      <c r="G8" s="66">
        <f>ROUND(Stress!$B$5/(('S-Table'!$F8/48)/225000)^0.25,2)</f>
        <v>78.040000000000006</v>
      </c>
    </row>
    <row r="9" spans="1:7">
      <c r="A9" s="66">
        <v>2</v>
      </c>
      <c r="B9" s="66">
        <v>30</v>
      </c>
      <c r="C9" s="66">
        <v>100</v>
      </c>
      <c r="D9" s="66">
        <v>20</v>
      </c>
      <c r="E9" s="66" t="str">
        <f t="shared" si="0"/>
        <v>23010020</v>
      </c>
      <c r="F9" s="66">
        <v>197</v>
      </c>
      <c r="G9" s="66">
        <f>ROUND(Stress!$B$5/(('S-Table'!$F9/48)/225000)^0.25,2)</f>
        <v>76.510000000000005</v>
      </c>
    </row>
    <row r="10" spans="1:7">
      <c r="A10" s="66">
        <v>3</v>
      </c>
      <c r="B10" s="66">
        <v>30</v>
      </c>
      <c r="C10" s="66">
        <v>100</v>
      </c>
      <c r="D10" s="66">
        <v>20</v>
      </c>
      <c r="E10" s="66" t="str">
        <f t="shared" si="0"/>
        <v>33010020</v>
      </c>
      <c r="F10" s="66">
        <v>207</v>
      </c>
      <c r="G10" s="66">
        <f>ROUND(Stress!$B$5/(('S-Table'!$F10/48)/225000)^0.25,2)</f>
        <v>75.569999999999993</v>
      </c>
    </row>
    <row r="11" spans="1:7">
      <c r="A11" s="66">
        <v>1</v>
      </c>
      <c r="B11" s="66">
        <v>30</v>
      </c>
      <c r="C11" s="66">
        <v>500</v>
      </c>
      <c r="D11" s="66">
        <v>10</v>
      </c>
      <c r="E11" s="66" t="str">
        <f t="shared" si="0"/>
        <v>13050010</v>
      </c>
      <c r="F11" s="66">
        <v>56</v>
      </c>
      <c r="G11" s="66">
        <f>ROUND(Stress!$B$5/(('S-Table'!$F11/48)/225000)^0.25,2)</f>
        <v>104.78</v>
      </c>
    </row>
    <row r="12" spans="1:7">
      <c r="A12" s="66">
        <v>2</v>
      </c>
      <c r="B12" s="66">
        <v>30</v>
      </c>
      <c r="C12" s="66">
        <v>500</v>
      </c>
      <c r="D12" s="66">
        <v>10</v>
      </c>
      <c r="E12" s="66" t="str">
        <f t="shared" si="0"/>
        <v>23050010</v>
      </c>
      <c r="F12" s="66">
        <v>60</v>
      </c>
      <c r="G12" s="66">
        <f>ROUND(Stress!$B$5/(('S-Table'!$F12/48)/225000)^0.25,2)</f>
        <v>102.99</v>
      </c>
    </row>
    <row r="13" spans="1:7">
      <c r="A13" s="66">
        <v>3</v>
      </c>
      <c r="B13" s="66">
        <v>30</v>
      </c>
      <c r="C13" s="66">
        <v>500</v>
      </c>
      <c r="D13" s="66">
        <v>10</v>
      </c>
      <c r="E13" s="66" t="str">
        <f t="shared" si="0"/>
        <v>33050010</v>
      </c>
      <c r="F13" s="66">
        <v>62</v>
      </c>
      <c r="G13" s="66">
        <f>ROUND(Stress!$B$5/(('S-Table'!$F13/48)/225000)^0.25,2)</f>
        <v>102.15</v>
      </c>
    </row>
    <row r="14" spans="1:7">
      <c r="A14" s="66">
        <v>1</v>
      </c>
      <c r="B14" s="66">
        <v>30</v>
      </c>
      <c r="C14" s="66">
        <v>500</v>
      </c>
      <c r="D14" s="66">
        <v>15</v>
      </c>
      <c r="E14" s="66" t="str">
        <f t="shared" si="0"/>
        <v>13050015</v>
      </c>
      <c r="F14" s="66">
        <v>74</v>
      </c>
      <c r="G14" s="66">
        <f>ROUND(Stress!$B$5/(('S-Table'!$F14/48)/225000)^0.25,2)</f>
        <v>97.73</v>
      </c>
    </row>
    <row r="15" spans="1:7">
      <c r="A15" s="66">
        <v>2</v>
      </c>
      <c r="B15" s="66">
        <v>30</v>
      </c>
      <c r="C15" s="66">
        <v>500</v>
      </c>
      <c r="D15" s="66">
        <v>15</v>
      </c>
      <c r="E15" s="66" t="str">
        <f t="shared" si="0"/>
        <v>23050015</v>
      </c>
      <c r="F15" s="66">
        <v>80</v>
      </c>
      <c r="G15" s="66">
        <f>ROUND(Stress!$B$5/(('S-Table'!$F15/48)/225000)^0.25,2)</f>
        <v>95.84</v>
      </c>
    </row>
    <row r="16" spans="1:7">
      <c r="A16" s="66">
        <v>3</v>
      </c>
      <c r="B16" s="66">
        <v>30</v>
      </c>
      <c r="C16" s="66">
        <v>500</v>
      </c>
      <c r="D16" s="66">
        <v>15</v>
      </c>
      <c r="E16" s="66" t="str">
        <f t="shared" si="0"/>
        <v>33050015</v>
      </c>
      <c r="F16" s="66">
        <v>84</v>
      </c>
      <c r="G16" s="66">
        <f>ROUND(Stress!$B$5/(('S-Table'!$F16/48)/225000)^0.25,2)</f>
        <v>94.68</v>
      </c>
    </row>
    <row r="17" spans="1:7">
      <c r="A17" s="66">
        <v>1</v>
      </c>
      <c r="B17" s="66">
        <v>30</v>
      </c>
      <c r="C17" s="66">
        <v>500</v>
      </c>
      <c r="D17" s="66">
        <v>20</v>
      </c>
      <c r="E17" s="66" t="str">
        <f t="shared" si="0"/>
        <v>13050020</v>
      </c>
      <c r="F17" s="66">
        <v>185</v>
      </c>
      <c r="G17" s="66">
        <f>ROUND(Stress!$B$5/(('S-Table'!$F17/48)/225000)^0.25,2)</f>
        <v>77.72</v>
      </c>
    </row>
    <row r="18" spans="1:7">
      <c r="A18" s="66">
        <v>2</v>
      </c>
      <c r="B18" s="66">
        <v>30</v>
      </c>
      <c r="C18" s="66">
        <v>500</v>
      </c>
      <c r="D18" s="66">
        <v>20</v>
      </c>
      <c r="E18" s="66" t="str">
        <f t="shared" si="0"/>
        <v>23050020</v>
      </c>
      <c r="F18" s="66">
        <v>200</v>
      </c>
      <c r="G18" s="66">
        <f>ROUND(Stress!$B$5/(('S-Table'!$F18/48)/225000)^0.25,2)</f>
        <v>76.22</v>
      </c>
    </row>
    <row r="19" spans="1:7">
      <c r="A19" s="66">
        <v>3</v>
      </c>
      <c r="B19" s="66">
        <v>30</v>
      </c>
      <c r="C19" s="66">
        <v>500</v>
      </c>
      <c r="D19" s="66">
        <v>20</v>
      </c>
      <c r="E19" s="66" t="str">
        <f t="shared" si="0"/>
        <v>33050020</v>
      </c>
      <c r="F19" s="66">
        <v>210</v>
      </c>
      <c r="G19" s="66">
        <f>ROUND(Stress!$B$5/(('S-Table'!$F19/48)/225000)^0.25,2)</f>
        <v>75.3</v>
      </c>
    </row>
    <row r="20" spans="1:7">
      <c r="A20" s="66">
        <v>1</v>
      </c>
      <c r="B20" s="66">
        <v>30</v>
      </c>
      <c r="C20" s="66">
        <v>1000</v>
      </c>
      <c r="D20" s="66">
        <v>10</v>
      </c>
      <c r="E20" s="66" t="str">
        <f t="shared" si="0"/>
        <v>130100010</v>
      </c>
      <c r="F20" s="66">
        <v>58</v>
      </c>
      <c r="G20" s="66">
        <f>ROUND(Stress!$B$5/(('S-Table'!$F20/48)/225000)^0.25,2)</f>
        <v>103.86</v>
      </c>
    </row>
    <row r="21" spans="1:7">
      <c r="A21" s="66">
        <v>2</v>
      </c>
      <c r="B21" s="66">
        <v>30</v>
      </c>
      <c r="C21" s="66">
        <v>1000</v>
      </c>
      <c r="D21" s="66">
        <v>10</v>
      </c>
      <c r="E21" s="66" t="str">
        <f t="shared" si="0"/>
        <v>230100010</v>
      </c>
      <c r="F21" s="66">
        <v>62</v>
      </c>
      <c r="G21" s="66">
        <f>ROUND(Stress!$B$5/(('S-Table'!$F21/48)/225000)^0.25,2)</f>
        <v>102.15</v>
      </c>
    </row>
    <row r="22" spans="1:7">
      <c r="A22" s="66">
        <v>3</v>
      </c>
      <c r="B22" s="66">
        <v>30</v>
      </c>
      <c r="C22" s="66">
        <v>1000</v>
      </c>
      <c r="D22" s="66">
        <v>10</v>
      </c>
      <c r="E22" s="66" t="str">
        <f t="shared" si="0"/>
        <v>330100010</v>
      </c>
      <c r="F22" s="66">
        <v>64</v>
      </c>
      <c r="G22" s="66">
        <f>ROUND(Stress!$B$5/(('S-Table'!$F22/48)/225000)^0.25,2)</f>
        <v>101.34</v>
      </c>
    </row>
    <row r="23" spans="1:7">
      <c r="A23" s="66">
        <v>1</v>
      </c>
      <c r="B23" s="66">
        <v>30</v>
      </c>
      <c r="C23" s="66">
        <v>1000</v>
      </c>
      <c r="D23" s="66">
        <v>15</v>
      </c>
      <c r="E23" s="66" t="str">
        <f t="shared" si="0"/>
        <v>130100015</v>
      </c>
      <c r="F23" s="66">
        <v>76</v>
      </c>
      <c r="G23" s="66">
        <f>ROUND(Stress!$B$5/(('S-Table'!$F23/48)/225000)^0.25,2)</f>
        <v>97.08</v>
      </c>
    </row>
    <row r="24" spans="1:7">
      <c r="A24" s="66">
        <v>2</v>
      </c>
      <c r="B24" s="66">
        <v>30</v>
      </c>
      <c r="C24" s="66">
        <v>1000</v>
      </c>
      <c r="D24" s="66">
        <v>15</v>
      </c>
      <c r="E24" s="66" t="str">
        <f t="shared" si="0"/>
        <v>230100015</v>
      </c>
      <c r="F24" s="66">
        <v>82</v>
      </c>
      <c r="G24" s="66">
        <f>ROUND(Stress!$B$5/(('S-Table'!$F24/48)/225000)^0.25,2)</f>
        <v>95.25</v>
      </c>
    </row>
    <row r="25" spans="1:7">
      <c r="A25" s="66">
        <v>3</v>
      </c>
      <c r="B25" s="66">
        <v>30</v>
      </c>
      <c r="C25" s="66">
        <v>1000</v>
      </c>
      <c r="D25" s="66">
        <v>15</v>
      </c>
      <c r="E25" s="66" t="str">
        <f t="shared" si="0"/>
        <v>330100015</v>
      </c>
      <c r="F25" s="66">
        <v>86</v>
      </c>
      <c r="G25" s="66">
        <f>ROUND(Stress!$B$5/(('S-Table'!$F25/48)/225000)^0.25,2)</f>
        <v>94.12</v>
      </c>
    </row>
    <row r="26" spans="1:7">
      <c r="A26" s="66">
        <v>1</v>
      </c>
      <c r="B26" s="66">
        <v>30</v>
      </c>
      <c r="C26" s="66">
        <v>1000</v>
      </c>
      <c r="D26" s="66">
        <v>20</v>
      </c>
      <c r="E26" s="66" t="str">
        <f t="shared" si="0"/>
        <v>130100020</v>
      </c>
      <c r="F26" s="66">
        <v>188</v>
      </c>
      <c r="G26" s="66">
        <f>ROUND(Stress!$B$5/(('S-Table'!$F26/48)/225000)^0.25,2)</f>
        <v>77.41</v>
      </c>
    </row>
    <row r="27" spans="1:7">
      <c r="A27" s="66">
        <v>2</v>
      </c>
      <c r="B27" s="66">
        <v>30</v>
      </c>
      <c r="C27" s="66">
        <v>1000</v>
      </c>
      <c r="D27" s="66">
        <v>20</v>
      </c>
      <c r="E27" s="66" t="str">
        <f t="shared" si="0"/>
        <v>230100020</v>
      </c>
      <c r="F27" s="66">
        <v>203</v>
      </c>
      <c r="G27" s="66">
        <f>ROUND(Stress!$B$5/(('S-Table'!$F27/48)/225000)^0.25,2)</f>
        <v>75.94</v>
      </c>
    </row>
    <row r="28" spans="1:7">
      <c r="A28" s="66">
        <v>3</v>
      </c>
      <c r="B28" s="66">
        <v>30</v>
      </c>
      <c r="C28" s="66">
        <v>1000</v>
      </c>
      <c r="D28" s="66">
        <v>20</v>
      </c>
      <c r="E28" s="66" t="str">
        <f t="shared" si="0"/>
        <v>330100020</v>
      </c>
      <c r="F28" s="66">
        <v>213</v>
      </c>
      <c r="G28" s="66">
        <f>ROUND(Stress!$B$5/(('S-Table'!$F28/48)/225000)^0.25,2)</f>
        <v>75.03</v>
      </c>
    </row>
    <row r="29" spans="1:7">
      <c r="A29" s="67">
        <v>1</v>
      </c>
      <c r="B29" s="67">
        <v>35</v>
      </c>
      <c r="C29" s="67">
        <v>100</v>
      </c>
      <c r="D29" s="67">
        <v>10</v>
      </c>
      <c r="E29" s="67" t="str">
        <f t="shared" si="0"/>
        <v>13510010</v>
      </c>
      <c r="F29" s="67">
        <v>62</v>
      </c>
      <c r="G29" s="67">
        <f>ROUND(Stress!$B$5/(('S-Table'!$F29/48)/225000)^0.25,2)</f>
        <v>102.15</v>
      </c>
    </row>
    <row r="30" spans="1:7">
      <c r="A30" s="67">
        <v>2</v>
      </c>
      <c r="B30" s="67">
        <v>35</v>
      </c>
      <c r="C30" s="67">
        <v>100</v>
      </c>
      <c r="D30" s="67">
        <v>10</v>
      </c>
      <c r="E30" s="67" t="str">
        <f t="shared" si="0"/>
        <v>23510010</v>
      </c>
      <c r="F30" s="67">
        <v>66</v>
      </c>
      <c r="G30" s="67">
        <f>ROUND(Stress!$B$5/(('S-Table'!$F30/48)/225000)^0.25,2)</f>
        <v>100.56</v>
      </c>
    </row>
    <row r="31" spans="1:7">
      <c r="A31" s="67">
        <v>3</v>
      </c>
      <c r="B31" s="67">
        <v>35</v>
      </c>
      <c r="C31" s="67">
        <v>100</v>
      </c>
      <c r="D31" s="67">
        <v>10</v>
      </c>
      <c r="E31" s="67" t="str">
        <f t="shared" si="0"/>
        <v>33510010</v>
      </c>
      <c r="F31" s="67">
        <v>69</v>
      </c>
      <c r="G31" s="67">
        <f>ROUND(Stress!$B$5/(('S-Table'!$F31/48)/225000)^0.25,2)</f>
        <v>99.45</v>
      </c>
    </row>
    <row r="32" spans="1:7">
      <c r="A32" s="67">
        <v>1</v>
      </c>
      <c r="B32" s="67">
        <v>35</v>
      </c>
      <c r="C32" s="67">
        <v>100</v>
      </c>
      <c r="D32" s="67">
        <v>15</v>
      </c>
      <c r="E32" s="67" t="str">
        <f t="shared" si="0"/>
        <v>13510015</v>
      </c>
      <c r="F32" s="67">
        <v>84</v>
      </c>
      <c r="G32" s="67">
        <f>ROUND(Stress!$B$5/(('S-Table'!$F32/48)/225000)^0.25,2)</f>
        <v>94.68</v>
      </c>
    </row>
    <row r="33" spans="1:7">
      <c r="A33" s="67">
        <v>2</v>
      </c>
      <c r="B33" s="67">
        <v>35</v>
      </c>
      <c r="C33" s="67">
        <v>100</v>
      </c>
      <c r="D33" s="67">
        <v>15</v>
      </c>
      <c r="E33" s="67" t="str">
        <f t="shared" si="0"/>
        <v>23510015</v>
      </c>
      <c r="F33" s="67">
        <v>90</v>
      </c>
      <c r="G33" s="67">
        <f>ROUND(Stress!$B$5/(('S-Table'!$F33/48)/225000)^0.25,2)</f>
        <v>93.06</v>
      </c>
    </row>
    <row r="34" spans="1:7">
      <c r="A34" s="67">
        <v>3</v>
      </c>
      <c r="B34" s="67">
        <v>35</v>
      </c>
      <c r="C34" s="67">
        <v>100</v>
      </c>
      <c r="D34" s="67">
        <v>15</v>
      </c>
      <c r="E34" s="67" t="str">
        <f t="shared" si="0"/>
        <v>33510015</v>
      </c>
      <c r="F34" s="67">
        <v>95</v>
      </c>
      <c r="G34" s="67">
        <f>ROUND(Stress!$B$5/(('S-Table'!$F34/48)/225000)^0.25,2)</f>
        <v>91.81</v>
      </c>
    </row>
    <row r="35" spans="1:7">
      <c r="A35" s="67">
        <v>1</v>
      </c>
      <c r="B35" s="67">
        <v>35</v>
      </c>
      <c r="C35" s="67">
        <v>100</v>
      </c>
      <c r="D35" s="67">
        <v>20</v>
      </c>
      <c r="E35" s="67" t="str">
        <f t="shared" si="0"/>
        <v>13510020</v>
      </c>
      <c r="F35" s="67">
        <v>198</v>
      </c>
      <c r="G35" s="67">
        <f>ROUND(Stress!$B$5/(('S-Table'!$F35/48)/225000)^0.25,2)</f>
        <v>76.41</v>
      </c>
    </row>
    <row r="36" spans="1:7">
      <c r="A36" s="67">
        <v>2</v>
      </c>
      <c r="B36" s="67">
        <v>35</v>
      </c>
      <c r="C36" s="67">
        <v>100</v>
      </c>
      <c r="D36" s="67">
        <v>20</v>
      </c>
      <c r="E36" s="67" t="str">
        <f t="shared" si="0"/>
        <v>23510020</v>
      </c>
      <c r="F36" s="67">
        <v>213</v>
      </c>
      <c r="G36" s="67">
        <f>ROUND(Stress!$B$5/(('S-Table'!$F36/48)/225000)^0.25,2)</f>
        <v>75.03</v>
      </c>
    </row>
    <row r="37" spans="1:7">
      <c r="A37" s="67">
        <v>3</v>
      </c>
      <c r="B37" s="67">
        <v>35</v>
      </c>
      <c r="C37" s="67">
        <v>100</v>
      </c>
      <c r="D37" s="67">
        <v>20</v>
      </c>
      <c r="E37" s="67" t="str">
        <f t="shared" si="0"/>
        <v>33510020</v>
      </c>
      <c r="F37" s="67">
        <v>221</v>
      </c>
      <c r="G37" s="67">
        <f>ROUND(Stress!$B$5/(('S-Table'!$F37/48)/225000)^0.25,2)</f>
        <v>74.34</v>
      </c>
    </row>
    <row r="38" spans="1:7">
      <c r="A38" s="67">
        <v>1</v>
      </c>
      <c r="B38" s="67">
        <v>35</v>
      </c>
      <c r="C38" s="67">
        <v>500</v>
      </c>
      <c r="D38" s="67">
        <v>10</v>
      </c>
      <c r="E38" s="67" t="str">
        <f t="shared" si="0"/>
        <v>13550010</v>
      </c>
      <c r="F38" s="67">
        <v>64</v>
      </c>
      <c r="G38" s="67">
        <f>ROUND(Stress!$B$5/(('S-Table'!$F38/48)/225000)^0.25,2)</f>
        <v>101.34</v>
      </c>
    </row>
    <row r="39" spans="1:7">
      <c r="A39" s="67">
        <v>2</v>
      </c>
      <c r="B39" s="67">
        <v>35</v>
      </c>
      <c r="C39" s="67">
        <v>500</v>
      </c>
      <c r="D39" s="67">
        <v>10</v>
      </c>
      <c r="E39" s="67" t="str">
        <f t="shared" si="0"/>
        <v>23550010</v>
      </c>
      <c r="F39" s="67">
        <v>68</v>
      </c>
      <c r="G39" s="67">
        <f>ROUND(Stress!$B$5/(('S-Table'!$F39/48)/225000)^0.25,2)</f>
        <v>99.82</v>
      </c>
    </row>
    <row r="40" spans="1:7">
      <c r="A40" s="67">
        <v>3</v>
      </c>
      <c r="B40" s="67">
        <v>35</v>
      </c>
      <c r="C40" s="67">
        <v>500</v>
      </c>
      <c r="D40" s="67">
        <v>10</v>
      </c>
      <c r="E40" s="67" t="str">
        <f t="shared" si="0"/>
        <v>33550010</v>
      </c>
      <c r="F40" s="67">
        <v>71</v>
      </c>
      <c r="G40" s="67">
        <f>ROUND(Stress!$B$5/(('S-Table'!$F40/48)/225000)^0.25,2)</f>
        <v>98.74</v>
      </c>
    </row>
    <row r="41" spans="1:7">
      <c r="A41" s="67">
        <v>1</v>
      </c>
      <c r="B41" s="67">
        <v>35</v>
      </c>
      <c r="C41" s="67">
        <v>500</v>
      </c>
      <c r="D41" s="67">
        <v>15</v>
      </c>
      <c r="E41" s="67" t="str">
        <f t="shared" si="0"/>
        <v>13550015</v>
      </c>
      <c r="F41" s="67">
        <v>86</v>
      </c>
      <c r="G41" s="67">
        <f>ROUND(Stress!$B$5/(('S-Table'!$F41/48)/225000)^0.25,2)</f>
        <v>94.12</v>
      </c>
    </row>
    <row r="42" spans="1:7">
      <c r="A42" s="67">
        <v>2</v>
      </c>
      <c r="B42" s="67">
        <v>35</v>
      </c>
      <c r="C42" s="67">
        <v>500</v>
      </c>
      <c r="D42" s="67">
        <v>15</v>
      </c>
      <c r="E42" s="67" t="str">
        <f t="shared" si="0"/>
        <v>23550015</v>
      </c>
      <c r="F42" s="67">
        <v>92</v>
      </c>
      <c r="G42" s="67">
        <f>ROUND(Stress!$B$5/(('S-Table'!$F42/48)/225000)^0.25,2)</f>
        <v>92.55</v>
      </c>
    </row>
    <row r="43" spans="1:7">
      <c r="A43" s="67">
        <v>3</v>
      </c>
      <c r="B43" s="67">
        <v>35</v>
      </c>
      <c r="C43" s="67">
        <v>500</v>
      </c>
      <c r="D43" s="67">
        <v>15</v>
      </c>
      <c r="E43" s="67" t="str">
        <f t="shared" si="0"/>
        <v>33550015</v>
      </c>
      <c r="F43" s="67">
        <v>97</v>
      </c>
      <c r="G43" s="67">
        <f>ROUND(Stress!$B$5/(('S-Table'!$F43/48)/225000)^0.25,2)</f>
        <v>91.33</v>
      </c>
    </row>
    <row r="44" spans="1:7">
      <c r="A44" s="67">
        <v>1</v>
      </c>
      <c r="B44" s="67">
        <v>35</v>
      </c>
      <c r="C44" s="67">
        <v>500</v>
      </c>
      <c r="D44" s="67">
        <v>20</v>
      </c>
      <c r="E44" s="67" t="str">
        <f t="shared" si="0"/>
        <v>13550020</v>
      </c>
      <c r="F44" s="67">
        <v>200</v>
      </c>
      <c r="G44" s="67">
        <f>ROUND(Stress!$B$5/(('S-Table'!$F44/48)/225000)^0.25,2)</f>
        <v>76.22</v>
      </c>
    </row>
    <row r="45" spans="1:7">
      <c r="A45" s="67">
        <v>2</v>
      </c>
      <c r="B45" s="67">
        <v>35</v>
      </c>
      <c r="C45" s="67">
        <v>500</v>
      </c>
      <c r="D45" s="67">
        <v>20</v>
      </c>
      <c r="E45" s="67" t="str">
        <f t="shared" si="0"/>
        <v>23550020</v>
      </c>
      <c r="F45" s="67">
        <v>215</v>
      </c>
      <c r="G45" s="67">
        <f>ROUND(Stress!$B$5/(('S-Table'!$F45/48)/225000)^0.25,2)</f>
        <v>74.849999999999994</v>
      </c>
    </row>
    <row r="46" spans="1:7">
      <c r="A46" s="67">
        <v>3</v>
      </c>
      <c r="B46" s="67">
        <v>35</v>
      </c>
      <c r="C46" s="67">
        <v>500</v>
      </c>
      <c r="D46" s="67">
        <v>20</v>
      </c>
      <c r="E46" s="67" t="str">
        <f t="shared" si="0"/>
        <v>33550020</v>
      </c>
      <c r="F46" s="67">
        <v>223</v>
      </c>
      <c r="G46" s="67">
        <f>ROUND(Stress!$B$5/(('S-Table'!$F46/48)/225000)^0.25,2)</f>
        <v>74.17</v>
      </c>
    </row>
    <row r="47" spans="1:7">
      <c r="A47" s="67">
        <v>1</v>
      </c>
      <c r="B47" s="67">
        <v>35</v>
      </c>
      <c r="C47" s="67">
        <v>1000</v>
      </c>
      <c r="D47" s="67">
        <v>10</v>
      </c>
      <c r="E47" s="67" t="str">
        <f t="shared" si="0"/>
        <v>135100010</v>
      </c>
      <c r="F47" s="67">
        <v>66</v>
      </c>
      <c r="G47" s="67">
        <f>ROUND(Stress!$B$5/(('S-Table'!$F47/48)/225000)^0.25,2)</f>
        <v>100.56</v>
      </c>
    </row>
    <row r="48" spans="1:7">
      <c r="A48" s="67">
        <v>2</v>
      </c>
      <c r="B48" s="67">
        <v>35</v>
      </c>
      <c r="C48" s="67">
        <v>1000</v>
      </c>
      <c r="D48" s="67">
        <v>10</v>
      </c>
      <c r="E48" s="67" t="str">
        <f t="shared" si="0"/>
        <v>235100010</v>
      </c>
      <c r="F48" s="67">
        <v>70</v>
      </c>
      <c r="G48" s="67">
        <f>ROUND(Stress!$B$5/(('S-Table'!$F48/48)/225000)^0.25,2)</f>
        <v>99.09</v>
      </c>
    </row>
    <row r="49" spans="1:7">
      <c r="A49" s="67">
        <v>3</v>
      </c>
      <c r="B49" s="67">
        <v>35</v>
      </c>
      <c r="C49" s="67">
        <v>1000</v>
      </c>
      <c r="D49" s="67">
        <v>10</v>
      </c>
      <c r="E49" s="67" t="str">
        <f t="shared" si="0"/>
        <v>335100010</v>
      </c>
      <c r="F49" s="67">
        <v>73</v>
      </c>
      <c r="G49" s="67">
        <f>ROUND(Stress!$B$5/(('S-Table'!$F49/48)/225000)^0.25,2)</f>
        <v>98.06</v>
      </c>
    </row>
    <row r="50" spans="1:7">
      <c r="A50" s="67">
        <v>1</v>
      </c>
      <c r="B50" s="67">
        <v>35</v>
      </c>
      <c r="C50" s="67">
        <v>1000</v>
      </c>
      <c r="D50" s="67">
        <v>15</v>
      </c>
      <c r="E50" s="67" t="str">
        <f t="shared" si="0"/>
        <v>135100015</v>
      </c>
      <c r="F50" s="67">
        <v>88</v>
      </c>
      <c r="G50" s="67">
        <f>ROUND(Stress!$B$5/(('S-Table'!$F50/48)/225000)^0.25,2)</f>
        <v>93.58</v>
      </c>
    </row>
    <row r="51" spans="1:7">
      <c r="A51" s="67">
        <v>2</v>
      </c>
      <c r="B51" s="67">
        <v>35</v>
      </c>
      <c r="C51" s="67">
        <v>1000</v>
      </c>
      <c r="D51" s="67">
        <v>15</v>
      </c>
      <c r="E51" s="67" t="str">
        <f t="shared" si="0"/>
        <v>235100015</v>
      </c>
      <c r="F51" s="67">
        <v>94</v>
      </c>
      <c r="G51" s="67">
        <f>ROUND(Stress!$B$5/(('S-Table'!$F51/48)/225000)^0.25,2)</f>
        <v>92.05</v>
      </c>
    </row>
    <row r="52" spans="1:7">
      <c r="A52" s="67">
        <v>3</v>
      </c>
      <c r="B52" s="67">
        <v>35</v>
      </c>
      <c r="C52" s="67">
        <v>1000</v>
      </c>
      <c r="D52" s="67">
        <v>15</v>
      </c>
      <c r="E52" s="67" t="str">
        <f t="shared" si="0"/>
        <v>335100015</v>
      </c>
      <c r="F52" s="67">
        <v>99</v>
      </c>
      <c r="G52" s="67">
        <f>ROUND(Stress!$B$5/(('S-Table'!$F52/48)/225000)^0.25,2)</f>
        <v>90.87</v>
      </c>
    </row>
    <row r="53" spans="1:7">
      <c r="A53" s="67">
        <v>1</v>
      </c>
      <c r="B53" s="67">
        <v>35</v>
      </c>
      <c r="C53" s="67">
        <v>1000</v>
      </c>
      <c r="D53" s="67">
        <v>20</v>
      </c>
      <c r="E53" s="67" t="str">
        <f t="shared" si="0"/>
        <v>135100020</v>
      </c>
      <c r="F53" s="67">
        <v>202</v>
      </c>
      <c r="G53" s="67">
        <f>ROUND(Stress!$B$5/(('S-Table'!$F53/48)/225000)^0.25,2)</f>
        <v>76.03</v>
      </c>
    </row>
    <row r="54" spans="1:7">
      <c r="A54" s="67">
        <v>2</v>
      </c>
      <c r="B54" s="67">
        <v>35</v>
      </c>
      <c r="C54" s="67">
        <v>1000</v>
      </c>
      <c r="D54" s="67">
        <v>20</v>
      </c>
      <c r="E54" s="67" t="str">
        <f t="shared" si="0"/>
        <v>235100020</v>
      </c>
      <c r="F54" s="67">
        <v>217</v>
      </c>
      <c r="G54" s="67">
        <f>ROUND(Stress!$B$5/(('S-Table'!$F54/48)/225000)^0.25,2)</f>
        <v>74.680000000000007</v>
      </c>
    </row>
    <row r="55" spans="1:7">
      <c r="A55" s="67">
        <v>3</v>
      </c>
      <c r="B55" s="67">
        <v>35</v>
      </c>
      <c r="C55" s="67">
        <v>1000</v>
      </c>
      <c r="D55" s="67">
        <v>20</v>
      </c>
      <c r="E55" s="67" t="str">
        <f t="shared" si="0"/>
        <v>335100020</v>
      </c>
      <c r="F55" s="67">
        <v>225</v>
      </c>
      <c r="G55" s="67">
        <f>ROUND(Stress!$B$5/(('S-Table'!$F55/48)/225000)^0.25,2)</f>
        <v>74.010000000000005</v>
      </c>
    </row>
    <row r="56" spans="1:7">
      <c r="A56" s="66">
        <v>1</v>
      </c>
      <c r="B56" s="66">
        <v>25</v>
      </c>
      <c r="C56" s="66">
        <v>100</v>
      </c>
      <c r="D56" s="66">
        <v>10</v>
      </c>
      <c r="E56" s="66" t="str">
        <f t="shared" si="0"/>
        <v>12510010</v>
      </c>
      <c r="F56" s="66">
        <v>47</v>
      </c>
      <c r="G56" s="66">
        <f>ROUND(Stress!$B$5/(('S-Table'!$F56/48)/225000)^0.25,2)</f>
        <v>109.47</v>
      </c>
    </row>
    <row r="57" spans="1:7">
      <c r="A57" s="66">
        <v>2</v>
      </c>
      <c r="B57" s="66">
        <v>25</v>
      </c>
      <c r="C57" s="66">
        <v>100</v>
      </c>
      <c r="D57" s="66">
        <v>10</v>
      </c>
      <c r="E57" s="66" t="str">
        <f t="shared" si="0"/>
        <v>22510010</v>
      </c>
      <c r="F57" s="66">
        <v>51</v>
      </c>
      <c r="G57" s="66">
        <f>ROUND(Stress!$B$5/(('S-Table'!$F57/48)/225000)^0.25,2)</f>
        <v>107.26</v>
      </c>
    </row>
    <row r="58" spans="1:7">
      <c r="A58" s="66">
        <v>3</v>
      </c>
      <c r="B58" s="66">
        <v>25</v>
      </c>
      <c r="C58" s="66">
        <v>100</v>
      </c>
      <c r="D58" s="66">
        <v>10</v>
      </c>
      <c r="E58" s="66" t="str">
        <f t="shared" si="0"/>
        <v>32510010</v>
      </c>
      <c r="F58" s="66">
        <v>54</v>
      </c>
      <c r="G58" s="66">
        <f>ROUND(Stress!$B$5/(('S-Table'!$F58/48)/225000)^0.25,2)</f>
        <v>105.74</v>
      </c>
    </row>
    <row r="59" spans="1:7">
      <c r="A59" s="66">
        <v>1</v>
      </c>
      <c r="B59" s="66">
        <v>25</v>
      </c>
      <c r="C59" s="66">
        <v>100</v>
      </c>
      <c r="D59" s="66">
        <v>15</v>
      </c>
      <c r="E59" s="66" t="str">
        <f t="shared" si="0"/>
        <v>12510015</v>
      </c>
      <c r="F59" s="66">
        <v>62</v>
      </c>
      <c r="G59" s="66">
        <f>ROUND(Stress!$B$5/(('S-Table'!$F59/48)/225000)^0.25,2)</f>
        <v>102.15</v>
      </c>
    </row>
    <row r="60" spans="1:7">
      <c r="A60" s="66">
        <v>2</v>
      </c>
      <c r="B60" s="66">
        <v>25</v>
      </c>
      <c r="C60" s="66">
        <v>100</v>
      </c>
      <c r="D60" s="66">
        <v>15</v>
      </c>
      <c r="E60" s="66" t="str">
        <f t="shared" si="0"/>
        <v>22510015</v>
      </c>
      <c r="F60" s="66">
        <v>68</v>
      </c>
      <c r="G60" s="66">
        <f>ROUND(Stress!$B$5/(('S-Table'!$F60/48)/225000)^0.25,2)</f>
        <v>99.82</v>
      </c>
    </row>
    <row r="61" spans="1:7">
      <c r="A61" s="66">
        <v>3</v>
      </c>
      <c r="B61" s="66">
        <v>25</v>
      </c>
      <c r="C61" s="66">
        <v>100</v>
      </c>
      <c r="D61" s="66">
        <v>15</v>
      </c>
      <c r="E61" s="66" t="str">
        <f t="shared" si="0"/>
        <v>32510015</v>
      </c>
      <c r="F61" s="66">
        <v>72</v>
      </c>
      <c r="G61" s="66">
        <f>ROUND(Stress!$B$5/(('S-Table'!$F61/48)/225000)^0.25,2)</f>
        <v>98.4</v>
      </c>
    </row>
    <row r="62" spans="1:7">
      <c r="A62" s="66">
        <v>1</v>
      </c>
      <c r="B62" s="66">
        <v>25</v>
      </c>
      <c r="C62" s="66">
        <v>100</v>
      </c>
      <c r="D62" s="66">
        <v>20</v>
      </c>
      <c r="E62" s="66" t="str">
        <f t="shared" si="0"/>
        <v>12510020</v>
      </c>
      <c r="F62" s="66">
        <v>169</v>
      </c>
      <c r="G62" s="66">
        <f>ROUND(Stress!$B$5/(('S-Table'!$F62/48)/225000)^0.25,2)</f>
        <v>79.5</v>
      </c>
    </row>
    <row r="63" spans="1:7">
      <c r="A63" s="66">
        <v>2</v>
      </c>
      <c r="B63" s="66">
        <v>25</v>
      </c>
      <c r="C63" s="66">
        <v>100</v>
      </c>
      <c r="D63" s="66">
        <v>20</v>
      </c>
      <c r="E63" s="66" t="str">
        <f t="shared" si="0"/>
        <v>22510020</v>
      </c>
      <c r="F63" s="66">
        <v>184</v>
      </c>
      <c r="G63" s="66">
        <f>ROUND(Stress!$B$5/(('S-Table'!$F63/48)/225000)^0.25,2)</f>
        <v>77.83</v>
      </c>
    </row>
    <row r="64" spans="1:7">
      <c r="A64" s="66">
        <v>3</v>
      </c>
      <c r="B64" s="66">
        <v>25</v>
      </c>
      <c r="C64" s="66">
        <v>100</v>
      </c>
      <c r="D64" s="66">
        <v>20</v>
      </c>
      <c r="E64" s="66" t="str">
        <f t="shared" si="0"/>
        <v>32510020</v>
      </c>
      <c r="F64" s="66">
        <v>192</v>
      </c>
      <c r="G64" s="66">
        <f>ROUND(Stress!$B$5/(('S-Table'!$F64/48)/225000)^0.25,2)</f>
        <v>77</v>
      </c>
    </row>
    <row r="65" spans="1:7">
      <c r="A65" s="66">
        <v>1</v>
      </c>
      <c r="B65" s="66">
        <v>25</v>
      </c>
      <c r="C65" s="66">
        <v>500</v>
      </c>
      <c r="D65" s="66">
        <v>10</v>
      </c>
      <c r="E65" s="66" t="str">
        <f t="shared" si="0"/>
        <v>12550010</v>
      </c>
      <c r="F65" s="66">
        <v>49</v>
      </c>
      <c r="G65" s="66">
        <f>ROUND(Stress!$B$5/(('S-Table'!$F65/48)/225000)^0.25,2)</f>
        <v>108.34</v>
      </c>
    </row>
    <row r="66" spans="1:7">
      <c r="A66" s="66">
        <v>2</v>
      </c>
      <c r="B66" s="66">
        <v>25</v>
      </c>
      <c r="C66" s="66">
        <v>500</v>
      </c>
      <c r="D66" s="66">
        <v>10</v>
      </c>
      <c r="E66" s="66" t="str">
        <f t="shared" si="0"/>
        <v>22550010</v>
      </c>
      <c r="F66" s="66">
        <v>53</v>
      </c>
      <c r="G66" s="66">
        <f>ROUND(Stress!$B$5/(('S-Table'!$F66/48)/225000)^0.25,2)</f>
        <v>106.23</v>
      </c>
    </row>
    <row r="67" spans="1:7">
      <c r="A67" s="66">
        <v>3</v>
      </c>
      <c r="B67" s="66">
        <v>25</v>
      </c>
      <c r="C67" s="66">
        <v>500</v>
      </c>
      <c r="D67" s="66">
        <v>10</v>
      </c>
      <c r="E67" s="66" t="str">
        <f t="shared" ref="E67:E82" si="1">CONCATENATE(A67,B67,C67,D67)</f>
        <v>32550010</v>
      </c>
      <c r="F67" s="66">
        <v>56</v>
      </c>
      <c r="G67" s="66">
        <f>ROUND(Stress!$B$5/(('S-Table'!$F67/48)/225000)^0.25,2)</f>
        <v>104.78</v>
      </c>
    </row>
    <row r="68" spans="1:7">
      <c r="A68" s="66">
        <v>1</v>
      </c>
      <c r="B68" s="66">
        <v>25</v>
      </c>
      <c r="C68" s="66">
        <v>500</v>
      </c>
      <c r="D68" s="66">
        <v>15</v>
      </c>
      <c r="E68" s="66" t="str">
        <f t="shared" si="1"/>
        <v>12550015</v>
      </c>
      <c r="F68" s="66">
        <v>64</v>
      </c>
      <c r="G68" s="66">
        <f>ROUND(Stress!$B$5/(('S-Table'!$F68/48)/225000)^0.25,2)</f>
        <v>101.34</v>
      </c>
    </row>
    <row r="69" spans="1:7">
      <c r="A69" s="66">
        <v>2</v>
      </c>
      <c r="B69" s="66">
        <v>25</v>
      </c>
      <c r="C69" s="66">
        <v>500</v>
      </c>
      <c r="D69" s="66">
        <v>15</v>
      </c>
      <c r="E69" s="66" t="str">
        <f t="shared" si="1"/>
        <v>22550015</v>
      </c>
      <c r="F69" s="66">
        <v>70</v>
      </c>
      <c r="G69" s="66">
        <f>ROUND(Stress!$B$5/(('S-Table'!$F69/48)/225000)^0.25,2)</f>
        <v>99.09</v>
      </c>
    </row>
    <row r="70" spans="1:7">
      <c r="A70" s="66">
        <v>3</v>
      </c>
      <c r="B70" s="66">
        <v>25</v>
      </c>
      <c r="C70" s="66">
        <v>500</v>
      </c>
      <c r="D70" s="66">
        <v>15</v>
      </c>
      <c r="E70" s="66" t="str">
        <f t="shared" si="1"/>
        <v>32550015</v>
      </c>
      <c r="F70" s="66">
        <v>74</v>
      </c>
      <c r="G70" s="66">
        <f>ROUND(Stress!$B$5/(('S-Table'!$F70/48)/225000)^0.25,2)</f>
        <v>97.73</v>
      </c>
    </row>
    <row r="71" spans="1:7">
      <c r="A71" s="66">
        <v>1</v>
      </c>
      <c r="B71" s="66">
        <v>25</v>
      </c>
      <c r="C71" s="66">
        <v>500</v>
      </c>
      <c r="D71" s="66">
        <v>20</v>
      </c>
      <c r="E71" s="66" t="str">
        <f t="shared" si="1"/>
        <v>12550020</v>
      </c>
      <c r="F71" s="66">
        <v>171</v>
      </c>
      <c r="G71" s="66">
        <f>ROUND(Stress!$B$5/(('S-Table'!$F71/48)/225000)^0.25,2)</f>
        <v>79.260000000000005</v>
      </c>
    </row>
    <row r="72" spans="1:7">
      <c r="A72" s="66">
        <v>2</v>
      </c>
      <c r="B72" s="66">
        <v>25</v>
      </c>
      <c r="C72" s="66">
        <v>500</v>
      </c>
      <c r="D72" s="66">
        <v>20</v>
      </c>
      <c r="E72" s="66" t="str">
        <f t="shared" si="1"/>
        <v>22550020</v>
      </c>
      <c r="F72" s="66">
        <v>186</v>
      </c>
      <c r="G72" s="66">
        <f>ROUND(Stress!$B$5/(('S-Table'!$F72/48)/225000)^0.25,2)</f>
        <v>77.62</v>
      </c>
    </row>
    <row r="73" spans="1:7">
      <c r="A73" s="66">
        <v>3</v>
      </c>
      <c r="B73" s="66">
        <v>25</v>
      </c>
      <c r="C73" s="66">
        <v>500</v>
      </c>
      <c r="D73" s="66">
        <v>20</v>
      </c>
      <c r="E73" s="66" t="str">
        <f t="shared" si="1"/>
        <v>32550020</v>
      </c>
      <c r="F73" s="66">
        <v>194</v>
      </c>
      <c r="G73" s="66">
        <f>ROUND(Stress!$B$5/(('S-Table'!$F73/48)/225000)^0.25,2)</f>
        <v>76.8</v>
      </c>
    </row>
    <row r="74" spans="1:7">
      <c r="A74" s="66">
        <v>1</v>
      </c>
      <c r="B74" s="66">
        <v>25</v>
      </c>
      <c r="C74" s="66">
        <v>1000</v>
      </c>
      <c r="D74" s="66">
        <v>10</v>
      </c>
      <c r="E74" s="66" t="str">
        <f t="shared" si="1"/>
        <v>125100010</v>
      </c>
      <c r="F74" s="66">
        <v>51</v>
      </c>
      <c r="G74" s="66">
        <f>ROUND(Stress!$B$5/(('S-Table'!$F74/48)/225000)^0.25,2)</f>
        <v>107.26</v>
      </c>
    </row>
    <row r="75" spans="1:7">
      <c r="A75" s="66">
        <v>2</v>
      </c>
      <c r="B75" s="66">
        <v>25</v>
      </c>
      <c r="C75" s="66">
        <v>1000</v>
      </c>
      <c r="D75" s="66">
        <v>10</v>
      </c>
      <c r="E75" s="66" t="str">
        <f t="shared" si="1"/>
        <v>225100010</v>
      </c>
      <c r="F75" s="66">
        <v>55</v>
      </c>
      <c r="G75" s="66">
        <f>ROUND(Stress!$B$5/(('S-Table'!$F75/48)/225000)^0.25,2)</f>
        <v>105.25</v>
      </c>
    </row>
    <row r="76" spans="1:7">
      <c r="A76" s="66">
        <v>3</v>
      </c>
      <c r="B76" s="66">
        <v>25</v>
      </c>
      <c r="C76" s="66">
        <v>1000</v>
      </c>
      <c r="D76" s="66">
        <v>10</v>
      </c>
      <c r="E76" s="66" t="str">
        <f t="shared" si="1"/>
        <v>325100010</v>
      </c>
      <c r="F76" s="66">
        <v>58</v>
      </c>
      <c r="G76" s="66">
        <f>ROUND(Stress!$B$5/(('S-Table'!$F76/48)/225000)^0.25,2)</f>
        <v>103.86</v>
      </c>
    </row>
    <row r="77" spans="1:7">
      <c r="A77" s="66">
        <v>1</v>
      </c>
      <c r="B77" s="66">
        <v>25</v>
      </c>
      <c r="C77" s="66">
        <v>1000</v>
      </c>
      <c r="D77" s="66">
        <v>15</v>
      </c>
      <c r="E77" s="66" t="str">
        <f t="shared" si="1"/>
        <v>125100015</v>
      </c>
      <c r="F77" s="66">
        <v>66</v>
      </c>
      <c r="G77" s="66">
        <f>ROUND(Stress!$B$5/(('S-Table'!$F77/48)/225000)^0.25,2)</f>
        <v>100.56</v>
      </c>
    </row>
    <row r="78" spans="1:7">
      <c r="A78" s="66">
        <v>2</v>
      </c>
      <c r="B78" s="66">
        <v>25</v>
      </c>
      <c r="C78" s="66">
        <v>1000</v>
      </c>
      <c r="D78" s="66">
        <v>15</v>
      </c>
      <c r="E78" s="66" t="str">
        <f t="shared" si="1"/>
        <v>225100015</v>
      </c>
      <c r="F78" s="66">
        <v>72</v>
      </c>
      <c r="G78" s="66">
        <f>ROUND(Stress!$B$5/(('S-Table'!$F78/48)/225000)^0.25,2)</f>
        <v>98.4</v>
      </c>
    </row>
    <row r="79" spans="1:7">
      <c r="A79" s="66">
        <v>3</v>
      </c>
      <c r="B79" s="66">
        <v>25</v>
      </c>
      <c r="C79" s="66">
        <v>1000</v>
      </c>
      <c r="D79" s="66">
        <v>15</v>
      </c>
      <c r="E79" s="66" t="str">
        <f t="shared" si="1"/>
        <v>325100015</v>
      </c>
      <c r="F79" s="66">
        <v>76</v>
      </c>
      <c r="G79" s="66">
        <f>ROUND(Stress!$B$5/(('S-Table'!$F79/48)/225000)^0.25,2)</f>
        <v>97.08</v>
      </c>
    </row>
    <row r="80" spans="1:7">
      <c r="A80" s="66">
        <v>1</v>
      </c>
      <c r="B80" s="66">
        <v>25</v>
      </c>
      <c r="C80" s="66">
        <v>1000</v>
      </c>
      <c r="D80" s="66">
        <v>20</v>
      </c>
      <c r="E80" s="66" t="str">
        <f t="shared" si="1"/>
        <v>125100020</v>
      </c>
      <c r="F80" s="66">
        <v>173</v>
      </c>
      <c r="G80" s="66">
        <f>ROUND(Stress!$B$5/(('S-Table'!$F80/48)/225000)^0.25,2)</f>
        <v>79.03</v>
      </c>
    </row>
    <row r="81" spans="1:7">
      <c r="A81" s="66">
        <v>2</v>
      </c>
      <c r="B81" s="66">
        <v>25</v>
      </c>
      <c r="C81" s="66">
        <v>1000</v>
      </c>
      <c r="D81" s="66">
        <v>20</v>
      </c>
      <c r="E81" s="66" t="str">
        <f t="shared" si="1"/>
        <v>225100020</v>
      </c>
      <c r="F81" s="66">
        <v>188</v>
      </c>
      <c r="G81" s="66">
        <f>ROUND(Stress!$B$5/(('S-Table'!$F81/48)/225000)^0.25,2)</f>
        <v>77.41</v>
      </c>
    </row>
    <row r="82" spans="1:7">
      <c r="A82" s="66">
        <v>3</v>
      </c>
      <c r="B82" s="66">
        <v>25</v>
      </c>
      <c r="C82" s="66">
        <v>1000</v>
      </c>
      <c r="D82" s="66">
        <v>20</v>
      </c>
      <c r="E82" s="66" t="str">
        <f t="shared" si="1"/>
        <v>325100020</v>
      </c>
      <c r="F82" s="66">
        <v>196</v>
      </c>
      <c r="G82" s="66">
        <f>ROUND(Stress!$B$5/(('S-Table'!$F82/48)/225000)^0.25,2)</f>
        <v>76.61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41B2D-BFD5-407D-8BE1-27B4B2CA6140}">
  <sheetPr codeName="Sheet6">
    <tabColor theme="3" tint="0.59999389629810485"/>
  </sheetPr>
  <dimension ref="A1:AP33"/>
  <sheetViews>
    <sheetView topLeftCell="B1" zoomScale="90" zoomScaleNormal="90" workbookViewId="0">
      <selection activeCell="AN4" sqref="AN4"/>
    </sheetView>
  </sheetViews>
  <sheetFormatPr defaultRowHeight="12.75"/>
  <cols>
    <col min="5" max="5" width="1.7109375" customWidth="1"/>
    <col min="10" max="10" width="0" hidden="1" customWidth="1"/>
    <col min="11" max="11" width="9.140625" customWidth="1"/>
    <col min="13" max="13" width="0" hidden="1" customWidth="1"/>
    <col min="14" max="14" width="1.7109375" customWidth="1"/>
    <col min="21" max="21" width="0" hidden="1" customWidth="1"/>
    <col min="22" max="22" width="1.7109375" customWidth="1"/>
    <col min="29" max="32" width="9.140625" hidden="1" customWidth="1"/>
    <col min="33" max="33" width="1.7109375" customWidth="1"/>
    <col min="39" max="39" width="0" hidden="1" customWidth="1"/>
    <col min="41" max="41" width="0" hidden="1" customWidth="1"/>
    <col min="42" max="42" width="1.7109375" customWidth="1"/>
  </cols>
  <sheetData>
    <row r="1" spans="1:42" ht="25.5">
      <c r="A1" s="19"/>
      <c r="B1" s="10" t="s">
        <v>22</v>
      </c>
      <c r="C1" s="57" t="s">
        <v>23</v>
      </c>
      <c r="D1" s="6" t="s">
        <v>505</v>
      </c>
      <c r="E1" s="14"/>
      <c r="F1" s="10" t="s">
        <v>375</v>
      </c>
      <c r="G1" s="10" t="s">
        <v>379</v>
      </c>
      <c r="H1" s="10" t="s">
        <v>512</v>
      </c>
      <c r="I1" s="10" t="s">
        <v>380</v>
      </c>
      <c r="J1" s="10" t="s">
        <v>506</v>
      </c>
      <c r="K1" s="10" t="s">
        <v>511</v>
      </c>
      <c r="L1" s="6" t="s">
        <v>513</v>
      </c>
      <c r="M1" s="6"/>
      <c r="N1" s="14"/>
      <c r="O1" s="10" t="s">
        <v>375</v>
      </c>
      <c r="P1" s="10" t="s">
        <v>379</v>
      </c>
      <c r="Q1" s="10" t="s">
        <v>512</v>
      </c>
      <c r="R1" s="10" t="s">
        <v>380</v>
      </c>
      <c r="S1" s="10" t="s">
        <v>511</v>
      </c>
      <c r="T1" s="6" t="s">
        <v>513</v>
      </c>
      <c r="U1" s="6"/>
      <c r="V1" s="14"/>
      <c r="W1" s="10" t="s">
        <v>375</v>
      </c>
      <c r="X1" s="10" t="s">
        <v>379</v>
      </c>
      <c r="Y1" s="10" t="s">
        <v>512</v>
      </c>
      <c r="Z1" s="10" t="s">
        <v>380</v>
      </c>
      <c r="AA1" s="10" t="s">
        <v>511</v>
      </c>
      <c r="AB1" s="6" t="s">
        <v>513</v>
      </c>
      <c r="AC1" s="6" t="s">
        <v>506</v>
      </c>
      <c r="AD1" s="6"/>
      <c r="AE1" s="6"/>
      <c r="AF1" s="6"/>
      <c r="AG1" s="14"/>
      <c r="AH1" s="10" t="s">
        <v>375</v>
      </c>
      <c r="AI1" s="10" t="s">
        <v>379</v>
      </c>
      <c r="AJ1" s="10" t="s">
        <v>512</v>
      </c>
      <c r="AK1" s="6" t="s">
        <v>516</v>
      </c>
      <c r="AL1" s="6" t="s">
        <v>517</v>
      </c>
      <c r="AM1" s="6" t="s">
        <v>506</v>
      </c>
      <c r="AN1" s="6" t="s">
        <v>380</v>
      </c>
      <c r="AO1" s="6"/>
      <c r="AP1" s="7"/>
    </row>
    <row r="2" spans="1:42">
      <c r="A2" s="9" t="s">
        <v>375</v>
      </c>
      <c r="B2" s="26">
        <f>Input!C7</f>
        <v>2</v>
      </c>
      <c r="C2" s="26"/>
      <c r="D2" s="26"/>
      <c r="E2" s="7"/>
      <c r="F2" s="52">
        <f>$B$2</f>
        <v>2</v>
      </c>
      <c r="G2" s="52">
        <f>$C$3</f>
        <v>25</v>
      </c>
      <c r="H2" s="52">
        <f>$C$4</f>
        <v>100</v>
      </c>
      <c r="I2" s="52">
        <v>10</v>
      </c>
      <c r="J2" s="5" t="str">
        <f>CONCATENATE(F2,G2,H2,I2)</f>
        <v>22510010</v>
      </c>
      <c r="K2" s="5">
        <f>VLOOKUP($J2,'S-Table'!$E$2:$G$82,2,FALSE)</f>
        <v>51</v>
      </c>
      <c r="L2" s="52">
        <f>VLOOKUP($J2,'S-Table'!$E$2:$G$82,3,FALSE)</f>
        <v>107.26</v>
      </c>
      <c r="M2" s="52"/>
      <c r="N2" s="7"/>
      <c r="O2" s="59">
        <f>F2</f>
        <v>2</v>
      </c>
      <c r="P2" s="59">
        <f t="shared" ref="P2:R13" si="0">G2</f>
        <v>25</v>
      </c>
      <c r="Q2" s="127">
        <f>B4</f>
        <v>500</v>
      </c>
      <c r="R2" s="124">
        <f t="shared" si="0"/>
        <v>10</v>
      </c>
      <c r="S2" s="127">
        <f>((K2-K5)*Q2+(K5*H2-H5*K2))/(H2-H5)</f>
        <v>53</v>
      </c>
      <c r="T2" s="127">
        <f>((L2-L5)*Q2+(L5*H2-H5*L2))/(H2-H5)</f>
        <v>106.23</v>
      </c>
      <c r="U2" s="127"/>
      <c r="V2" s="7"/>
      <c r="W2" s="124">
        <f>B2</f>
        <v>2</v>
      </c>
      <c r="X2" s="127">
        <f>B3</f>
        <v>30</v>
      </c>
      <c r="Y2" s="127">
        <f>B4</f>
        <v>500</v>
      </c>
      <c r="Z2" s="124">
        <f>R2</f>
        <v>10</v>
      </c>
      <c r="AA2" s="124">
        <f>((S2-S8)*X2+(S8*P2-P8*S2))/(P2-P8)</f>
        <v>60</v>
      </c>
      <c r="AB2" s="124">
        <f>((T2-T8)*X2+(T8*P2-P8*T2))/(P2-P8)</f>
        <v>102.98999999999997</v>
      </c>
      <c r="AC2" s="60" t="str">
        <f>CONCATENATE(W2,X2,Y2,AA2)</f>
        <v>23050060</v>
      </c>
      <c r="AD2" s="60">
        <v>1</v>
      </c>
      <c r="AE2" s="60">
        <f>Z2</f>
        <v>10</v>
      </c>
      <c r="AF2" s="124"/>
      <c r="AG2" s="7"/>
      <c r="AH2" s="124">
        <f>W2</f>
        <v>2</v>
      </c>
      <c r="AI2" s="127">
        <f>X2</f>
        <v>30</v>
      </c>
      <c r="AJ2" s="127">
        <f>Y2</f>
        <v>500</v>
      </c>
      <c r="AK2" s="127">
        <f>B6</f>
        <v>60</v>
      </c>
      <c r="AL2" s="127">
        <f>B9</f>
        <v>102.99</v>
      </c>
      <c r="AM2" s="63" t="str">
        <f>CONCATENATE(AH2,AI2,AJ2,AK2)</f>
        <v>23050060</v>
      </c>
      <c r="AN2" s="124">
        <f>ROUND(IF(AM2=AC2,AE2,IF(AM2=AC3,AE3,IF(AM2=AC4,AE4,((LN(AK2))-X19)/W19)))+$C$10,1)</f>
        <v>10</v>
      </c>
      <c r="AO2" s="124"/>
      <c r="AP2" s="7"/>
    </row>
    <row r="3" spans="1:42">
      <c r="A3" s="9" t="s">
        <v>379</v>
      </c>
      <c r="B3" s="5">
        <f>Input!F7</f>
        <v>30</v>
      </c>
      <c r="C3" s="26">
        <f>IF(B3&gt;25,25,IF(B3&gt;30,30,35))</f>
        <v>25</v>
      </c>
      <c r="D3" s="26">
        <f>IF(B3&lt;=25,25,IF(B3&lt;=30,30,35))</f>
        <v>30</v>
      </c>
      <c r="E3" s="7"/>
      <c r="F3" s="59">
        <f t="shared" ref="F3:F13" si="1">$B$2</f>
        <v>2</v>
      </c>
      <c r="G3" s="59">
        <f t="shared" ref="G3:G7" si="2">$C$3</f>
        <v>25</v>
      </c>
      <c r="H3" s="59">
        <f t="shared" ref="H3:H4" si="3">$C$4</f>
        <v>100</v>
      </c>
      <c r="I3" s="5">
        <v>15</v>
      </c>
      <c r="J3" s="5" t="str">
        <f t="shared" ref="J3:J13" si="4">CONCATENATE(F3,G3,H3,I3)</f>
        <v>22510015</v>
      </c>
      <c r="K3" s="5">
        <f>VLOOKUP($J3,'S-Table'!$E$2:$G$82,2,FALSE)</f>
        <v>68</v>
      </c>
      <c r="L3" s="59">
        <f>VLOOKUP($J3,'S-Table'!$E$2:$G$82,3,FALSE)</f>
        <v>99.82</v>
      </c>
      <c r="M3" s="52"/>
      <c r="N3" s="7"/>
      <c r="O3" s="59">
        <f t="shared" ref="O3:O13" si="5">F3</f>
        <v>2</v>
      </c>
      <c r="P3" s="59">
        <f t="shared" si="0"/>
        <v>25</v>
      </c>
      <c r="Q3" s="125"/>
      <c r="R3" s="126"/>
      <c r="S3" s="128"/>
      <c r="T3" s="128"/>
      <c r="U3" s="128"/>
      <c r="V3" s="7"/>
      <c r="W3" s="125"/>
      <c r="X3" s="125"/>
      <c r="Y3" s="125"/>
      <c r="Z3" s="125"/>
      <c r="AA3" s="125"/>
      <c r="AB3" s="125"/>
      <c r="AC3" s="60" t="str">
        <f>CONCATENATE(W2,X2,Y2,AA6)</f>
        <v>23050080</v>
      </c>
      <c r="AD3" s="60">
        <v>1</v>
      </c>
      <c r="AE3" s="63">
        <f>Z6</f>
        <v>15</v>
      </c>
      <c r="AF3" s="125"/>
      <c r="AG3" s="7"/>
      <c r="AH3" s="126"/>
      <c r="AI3" s="126"/>
      <c r="AJ3" s="126"/>
      <c r="AK3" s="126"/>
      <c r="AL3" s="128"/>
      <c r="AM3" s="64"/>
      <c r="AN3" s="126"/>
      <c r="AO3" s="126"/>
      <c r="AP3" s="7"/>
    </row>
    <row r="4" spans="1:42">
      <c r="A4" s="9" t="s">
        <v>30</v>
      </c>
      <c r="B4" s="5">
        <f>Input!F19</f>
        <v>500</v>
      </c>
      <c r="C4" s="26">
        <f>IF(B4&gt;1000,1000,IF(B4&gt;500,500,100))</f>
        <v>100</v>
      </c>
      <c r="D4" s="26">
        <f>IF(B4&lt;=100,100,IF(B4&lt;=500,500,1000))</f>
        <v>500</v>
      </c>
      <c r="E4" s="7"/>
      <c r="F4" s="59">
        <f t="shared" si="1"/>
        <v>2</v>
      </c>
      <c r="G4" s="59">
        <f t="shared" si="2"/>
        <v>25</v>
      </c>
      <c r="H4" s="59">
        <f t="shared" si="3"/>
        <v>100</v>
      </c>
      <c r="I4" s="52">
        <v>20</v>
      </c>
      <c r="J4" s="5" t="str">
        <f t="shared" si="4"/>
        <v>22510020</v>
      </c>
      <c r="K4" s="5">
        <f>VLOOKUP($J4,'S-Table'!$E$2:$G$82,2,FALSE)</f>
        <v>184</v>
      </c>
      <c r="L4" s="59">
        <f>VLOOKUP($J4,'S-Table'!$E$2:$G$82,3,FALSE)</f>
        <v>77.83</v>
      </c>
      <c r="M4" s="52"/>
      <c r="N4" s="7"/>
      <c r="O4" s="59">
        <f t="shared" si="5"/>
        <v>2</v>
      </c>
      <c r="P4" s="59">
        <f t="shared" si="0"/>
        <v>25</v>
      </c>
      <c r="Q4" s="125"/>
      <c r="R4" s="127">
        <f>I3</f>
        <v>15</v>
      </c>
      <c r="S4" s="127">
        <f>((K3-K6)*Q2+(K6*H3-H6*K3))/(H3-H6)</f>
        <v>70</v>
      </c>
      <c r="T4" s="127">
        <f>((L3-L6)*Q2+(L6*H3-H6*L3))/(H3-H6)</f>
        <v>99.090000000000018</v>
      </c>
      <c r="U4" s="127"/>
      <c r="V4" s="7"/>
      <c r="W4" s="125"/>
      <c r="X4" s="125"/>
      <c r="Y4" s="125"/>
      <c r="Z4" s="125"/>
      <c r="AA4" s="125"/>
      <c r="AB4" s="125"/>
      <c r="AC4" s="60" t="str">
        <f>CONCATENATE(W2,X2,Y2,AA10)</f>
        <v>230500200</v>
      </c>
      <c r="AD4" s="60">
        <v>1</v>
      </c>
      <c r="AE4" s="60">
        <f>Z10</f>
        <v>20</v>
      </c>
      <c r="AF4" s="125"/>
      <c r="AG4" s="7"/>
      <c r="AH4" s="73"/>
      <c r="AI4" s="73"/>
      <c r="AJ4" s="84"/>
      <c r="AK4" s="84"/>
      <c r="AL4" s="84"/>
      <c r="AM4" s="84"/>
      <c r="AN4" s="84"/>
      <c r="AO4" s="84"/>
      <c r="AP4" s="7"/>
    </row>
    <row r="5" spans="1:42">
      <c r="A5" s="9" t="s">
        <v>524</v>
      </c>
      <c r="B5" s="5">
        <v>5</v>
      </c>
      <c r="C5" s="26"/>
      <c r="D5" s="26"/>
      <c r="E5" s="7"/>
      <c r="F5" s="59">
        <f t="shared" si="1"/>
        <v>2</v>
      </c>
      <c r="G5" s="59">
        <f>$C$3</f>
        <v>25</v>
      </c>
      <c r="H5" s="59">
        <f>$D$4</f>
        <v>500</v>
      </c>
      <c r="I5" s="52">
        <v>10</v>
      </c>
      <c r="J5" s="5" t="str">
        <f t="shared" si="4"/>
        <v>22550010</v>
      </c>
      <c r="K5" s="5">
        <f>VLOOKUP($J5,'S-Table'!$E$2:$G$82,2,FALSE)</f>
        <v>53</v>
      </c>
      <c r="L5" s="59">
        <f>VLOOKUP($J5,'S-Table'!$E$2:$G$82,3,FALSE)</f>
        <v>106.23</v>
      </c>
      <c r="M5" s="52"/>
      <c r="N5" s="7"/>
      <c r="O5" s="59">
        <f t="shared" si="5"/>
        <v>2</v>
      </c>
      <c r="P5" s="59">
        <f t="shared" si="0"/>
        <v>25</v>
      </c>
      <c r="Q5" s="125"/>
      <c r="R5" s="126"/>
      <c r="S5" s="128"/>
      <c r="T5" s="128"/>
      <c r="U5" s="128"/>
      <c r="V5" s="7"/>
      <c r="W5" s="125"/>
      <c r="X5" s="125"/>
      <c r="Y5" s="125"/>
      <c r="Z5" s="126"/>
      <c r="AA5" s="126"/>
      <c r="AB5" s="126"/>
      <c r="AC5" s="62"/>
      <c r="AD5" s="62"/>
      <c r="AE5" s="62"/>
      <c r="AF5" s="126"/>
      <c r="AG5" s="7"/>
      <c r="AH5" s="73"/>
      <c r="AI5" s="73"/>
      <c r="AJ5" s="84"/>
      <c r="AK5" s="84"/>
      <c r="AL5" s="84"/>
      <c r="AM5" s="84"/>
      <c r="AN5" s="86"/>
      <c r="AO5" s="84"/>
      <c r="AP5" s="7"/>
    </row>
    <row r="6" spans="1:42">
      <c r="A6" s="9" t="s">
        <v>511</v>
      </c>
      <c r="B6" s="5">
        <f>Input!C25</f>
        <v>60</v>
      </c>
      <c r="C6" s="26"/>
      <c r="D6" s="5"/>
      <c r="E6" s="7"/>
      <c r="F6" s="59">
        <f t="shared" si="1"/>
        <v>2</v>
      </c>
      <c r="G6" s="59">
        <f t="shared" si="2"/>
        <v>25</v>
      </c>
      <c r="H6" s="59">
        <f t="shared" ref="H6:H7" si="6">$D$4</f>
        <v>500</v>
      </c>
      <c r="I6" s="52">
        <v>15</v>
      </c>
      <c r="J6" s="5" t="str">
        <f t="shared" si="4"/>
        <v>22550015</v>
      </c>
      <c r="K6" s="5">
        <f>VLOOKUP($J6,'S-Table'!$E$2:$G$82,2,FALSE)</f>
        <v>70</v>
      </c>
      <c r="L6" s="59">
        <f>VLOOKUP($J6,'S-Table'!$E$2:$G$82,3,FALSE)</f>
        <v>99.09</v>
      </c>
      <c r="M6" s="52"/>
      <c r="N6" s="7"/>
      <c r="O6" s="59">
        <f t="shared" si="5"/>
        <v>2</v>
      </c>
      <c r="P6" s="59">
        <f t="shared" si="0"/>
        <v>25</v>
      </c>
      <c r="Q6" s="125"/>
      <c r="R6" s="124">
        <f>I4</f>
        <v>20</v>
      </c>
      <c r="S6" s="127">
        <f>((K4-K7)*Q2+(K7*H4-H7*K4))/(H4-H7)</f>
        <v>186</v>
      </c>
      <c r="T6" s="127">
        <f>((L4-L7)*Q2+(L7*H4-H7*L4))/(H4-H7)</f>
        <v>77.62</v>
      </c>
      <c r="U6" s="127"/>
      <c r="V6" s="7"/>
      <c r="W6" s="125"/>
      <c r="X6" s="125"/>
      <c r="Y6" s="125"/>
      <c r="Z6" s="127">
        <f>R4</f>
        <v>15</v>
      </c>
      <c r="AA6" s="124">
        <f>((S4-S10)*X2+(S10*P4-P10*S4))/(P4-P10)</f>
        <v>80</v>
      </c>
      <c r="AB6" s="124">
        <f>((T4-T10)*X2+(T10*P4-P10*T4))/(P4-P10)</f>
        <v>95.84000000000006</v>
      </c>
      <c r="AF6" s="124"/>
      <c r="AG6" s="7"/>
      <c r="AH6" s="73"/>
      <c r="AI6" s="73"/>
      <c r="AJ6" s="84"/>
      <c r="AK6" s="84"/>
      <c r="AL6" s="84"/>
      <c r="AM6" s="84"/>
      <c r="AN6" s="84"/>
      <c r="AO6" s="84"/>
      <c r="AP6" s="7"/>
    </row>
    <row r="7" spans="1:42">
      <c r="A7" s="69" t="s">
        <v>514</v>
      </c>
      <c r="B7" s="67">
        <v>48</v>
      </c>
      <c r="C7" s="68"/>
      <c r="D7" s="68"/>
      <c r="E7" s="7"/>
      <c r="F7" s="59">
        <f t="shared" si="1"/>
        <v>2</v>
      </c>
      <c r="G7" s="59">
        <f t="shared" si="2"/>
        <v>25</v>
      </c>
      <c r="H7" s="59">
        <f t="shared" si="6"/>
        <v>500</v>
      </c>
      <c r="I7" s="5">
        <v>20</v>
      </c>
      <c r="J7" s="5" t="str">
        <f t="shared" si="4"/>
        <v>22550020</v>
      </c>
      <c r="K7" s="5">
        <f>VLOOKUP($J7,'S-Table'!$E$2:$G$82,2,FALSE)</f>
        <v>186</v>
      </c>
      <c r="L7" s="59">
        <f>VLOOKUP($J7,'S-Table'!$E$2:$G$82,3,FALSE)</f>
        <v>77.62</v>
      </c>
      <c r="M7" s="52"/>
      <c r="N7" s="7"/>
      <c r="O7" s="59">
        <f t="shared" si="5"/>
        <v>2</v>
      </c>
      <c r="P7" s="59">
        <f t="shared" si="0"/>
        <v>25</v>
      </c>
      <c r="Q7" s="126"/>
      <c r="R7" s="126"/>
      <c r="S7" s="128"/>
      <c r="T7" s="128"/>
      <c r="U7" s="128"/>
      <c r="V7" s="7"/>
      <c r="W7" s="125"/>
      <c r="X7" s="125"/>
      <c r="Y7" s="125"/>
      <c r="Z7" s="125"/>
      <c r="AA7" s="125"/>
      <c r="AB7" s="125"/>
      <c r="AC7" s="61"/>
      <c r="AD7" s="61"/>
      <c r="AE7" s="61"/>
      <c r="AF7" s="125"/>
      <c r="AG7" s="7"/>
      <c r="AH7" s="73"/>
      <c r="AI7" s="73"/>
      <c r="AJ7" s="84"/>
      <c r="AK7" s="84"/>
      <c r="AL7" s="84"/>
      <c r="AM7" s="84"/>
      <c r="AN7" s="84"/>
      <c r="AO7" s="84"/>
      <c r="AP7" s="7"/>
    </row>
    <row r="8" spans="1:42">
      <c r="A8" s="78" t="s">
        <v>515</v>
      </c>
      <c r="B8" s="79">
        <f>ROUND(29.379/(1+(603*(B7^-1.3054))),0)</f>
        <v>6</v>
      </c>
      <c r="C8" s="80"/>
      <c r="D8" s="80"/>
      <c r="E8" s="7"/>
      <c r="F8" s="59">
        <f t="shared" si="1"/>
        <v>2</v>
      </c>
      <c r="G8" s="59">
        <f>$D$3</f>
        <v>30</v>
      </c>
      <c r="H8" s="59">
        <f>$C$4</f>
        <v>100</v>
      </c>
      <c r="I8" s="59">
        <v>10</v>
      </c>
      <c r="J8" s="5" t="str">
        <f t="shared" si="4"/>
        <v>23010010</v>
      </c>
      <c r="K8" s="5">
        <f>VLOOKUP($J8,'S-Table'!$E$2:$G$82,2,FALSE)</f>
        <v>58</v>
      </c>
      <c r="L8" s="59">
        <f>VLOOKUP($J8,'S-Table'!$E$2:$G$82,3,FALSE)</f>
        <v>103.86</v>
      </c>
      <c r="M8" s="52"/>
      <c r="N8" s="7"/>
      <c r="O8" s="59">
        <f t="shared" si="5"/>
        <v>2</v>
      </c>
      <c r="P8" s="59">
        <f t="shared" si="0"/>
        <v>30</v>
      </c>
      <c r="Q8" s="127">
        <f>B4</f>
        <v>500</v>
      </c>
      <c r="R8" s="124">
        <f>I2</f>
        <v>10</v>
      </c>
      <c r="S8" s="127">
        <f>((K8-K11)*Q8+(K11*H8-H11*K8))/(H8-H11)</f>
        <v>60</v>
      </c>
      <c r="T8" s="127">
        <f>((L8-L11)*Q8+(L11*H8-H11*L8))/(H8-H11)</f>
        <v>102.99</v>
      </c>
      <c r="U8" s="127"/>
      <c r="V8" s="7"/>
      <c r="W8" s="125"/>
      <c r="X8" s="125"/>
      <c r="Y8" s="125"/>
      <c r="Z8" s="125"/>
      <c r="AA8" s="125"/>
      <c r="AB8" s="125"/>
      <c r="AC8" s="61"/>
      <c r="AD8" s="61"/>
      <c r="AE8" s="61"/>
      <c r="AF8" s="125"/>
      <c r="AG8" s="7"/>
      <c r="AH8" s="73"/>
      <c r="AI8" s="73"/>
      <c r="AJ8" s="84"/>
      <c r="AK8" s="84"/>
      <c r="AL8" s="84"/>
      <c r="AM8" s="84"/>
      <c r="AN8" s="84"/>
      <c r="AO8" s="84"/>
      <c r="AP8" s="7"/>
    </row>
    <row r="9" spans="1:42">
      <c r="A9" s="78" t="s">
        <v>513</v>
      </c>
      <c r="B9" s="81">
        <f>ROUND(Stress!$B$5/(($B$6/48)/225000)^0.25,2)</f>
        <v>102.99</v>
      </c>
      <c r="C9" s="82"/>
      <c r="D9" s="78"/>
      <c r="E9" s="7"/>
      <c r="F9" s="59">
        <f t="shared" si="1"/>
        <v>2</v>
      </c>
      <c r="G9" s="59">
        <f t="shared" ref="G9:G13" si="7">$D$3</f>
        <v>30</v>
      </c>
      <c r="H9" s="59">
        <f t="shared" ref="H9:H10" si="8">$C$4</f>
        <v>100</v>
      </c>
      <c r="I9" s="5">
        <v>15</v>
      </c>
      <c r="J9" s="5" t="str">
        <f t="shared" si="4"/>
        <v>23010015</v>
      </c>
      <c r="K9" s="5">
        <f>VLOOKUP($J9,'S-Table'!$E$2:$G$82,2,FALSE)</f>
        <v>78</v>
      </c>
      <c r="L9" s="59">
        <f>VLOOKUP($J9,'S-Table'!$E$2:$G$82,3,FALSE)</f>
        <v>96.45</v>
      </c>
      <c r="M9" s="52"/>
      <c r="N9" s="7"/>
      <c r="O9" s="59">
        <f t="shared" si="5"/>
        <v>2</v>
      </c>
      <c r="P9" s="59">
        <f t="shared" si="0"/>
        <v>30</v>
      </c>
      <c r="Q9" s="125"/>
      <c r="R9" s="126"/>
      <c r="S9" s="128"/>
      <c r="T9" s="128"/>
      <c r="U9" s="128"/>
      <c r="V9" s="7"/>
      <c r="W9" s="125"/>
      <c r="X9" s="125"/>
      <c r="Y9" s="125"/>
      <c r="Z9" s="126"/>
      <c r="AA9" s="126"/>
      <c r="AB9" s="126"/>
      <c r="AC9" s="62"/>
      <c r="AD9" s="62"/>
      <c r="AE9" s="62"/>
      <c r="AF9" s="126"/>
      <c r="AG9" s="7"/>
      <c r="AH9" s="73"/>
      <c r="AI9" s="73"/>
      <c r="AJ9" s="84"/>
      <c r="AK9" s="84"/>
      <c r="AL9" s="84"/>
      <c r="AM9" s="84"/>
      <c r="AN9" s="84"/>
      <c r="AO9" s="84"/>
      <c r="AP9" s="7"/>
    </row>
    <row r="10" spans="1:42">
      <c r="A10" s="78" t="s">
        <v>525</v>
      </c>
      <c r="B10" s="81">
        <f>Input!F8</f>
        <v>5</v>
      </c>
      <c r="C10" s="89">
        <f>-2*B10+10</f>
        <v>0</v>
      </c>
      <c r="D10" s="78"/>
      <c r="E10" s="7"/>
      <c r="F10" s="59">
        <f t="shared" si="1"/>
        <v>2</v>
      </c>
      <c r="G10" s="59">
        <f t="shared" si="7"/>
        <v>30</v>
      </c>
      <c r="H10" s="59">
        <f t="shared" si="8"/>
        <v>100</v>
      </c>
      <c r="I10" s="59">
        <v>20</v>
      </c>
      <c r="J10" s="5" t="str">
        <f t="shared" si="4"/>
        <v>23010020</v>
      </c>
      <c r="K10" s="5">
        <f>VLOOKUP($J10,'S-Table'!$E$2:$G$82,2,FALSE)</f>
        <v>197</v>
      </c>
      <c r="L10" s="59">
        <f>VLOOKUP($J10,'S-Table'!$E$2:$G$82,3,FALSE)</f>
        <v>76.510000000000005</v>
      </c>
      <c r="M10" s="52"/>
      <c r="N10" s="7"/>
      <c r="O10" s="59">
        <f t="shared" si="5"/>
        <v>2</v>
      </c>
      <c r="P10" s="59">
        <f t="shared" si="0"/>
        <v>30</v>
      </c>
      <c r="Q10" s="125"/>
      <c r="R10" s="127">
        <f>I3</f>
        <v>15</v>
      </c>
      <c r="S10" s="127">
        <f>((K9-K12)*Q8+(K12*H9-H12*K9))/(H9-H12)</f>
        <v>80</v>
      </c>
      <c r="T10" s="127">
        <f>((L9-L12)*Q8+(L12*H9-H12*L9))/(H9-H12)</f>
        <v>95.84</v>
      </c>
      <c r="U10" s="127"/>
      <c r="V10" s="7"/>
      <c r="W10" s="125"/>
      <c r="X10" s="125"/>
      <c r="Y10" s="125"/>
      <c r="Z10" s="124">
        <f>R6</f>
        <v>20</v>
      </c>
      <c r="AA10" s="124">
        <f>((S6-S12)*X2+(S12*P6-P12*S6))/(P6-P12)</f>
        <v>200</v>
      </c>
      <c r="AB10" s="124">
        <f>((T6-T12)*X2+(T12*P6-P12*T6))/(P6-P12)</f>
        <v>76.220000000000056</v>
      </c>
      <c r="AF10" s="124"/>
      <c r="AG10" s="7"/>
      <c r="AH10" s="73"/>
      <c r="AI10" s="73"/>
      <c r="AJ10" s="84"/>
      <c r="AK10" s="84"/>
      <c r="AL10" s="85"/>
      <c r="AM10" s="85"/>
      <c r="AN10" s="84"/>
      <c r="AO10" s="84"/>
      <c r="AP10" s="7"/>
    </row>
    <row r="11" spans="1:42">
      <c r="A11" s="75"/>
      <c r="B11" s="76"/>
      <c r="C11" s="76"/>
      <c r="D11" s="76"/>
      <c r="E11" s="7"/>
      <c r="F11" s="59">
        <f t="shared" si="1"/>
        <v>2</v>
      </c>
      <c r="G11" s="59">
        <f t="shared" si="7"/>
        <v>30</v>
      </c>
      <c r="H11" s="59">
        <f>$D$4</f>
        <v>500</v>
      </c>
      <c r="I11" s="59">
        <v>10</v>
      </c>
      <c r="J11" s="5" t="str">
        <f t="shared" si="4"/>
        <v>23050010</v>
      </c>
      <c r="K11" s="5">
        <f>VLOOKUP($J11,'S-Table'!$E$2:$G$82,2,FALSE)</f>
        <v>60</v>
      </c>
      <c r="L11" s="59">
        <f>VLOOKUP($J11,'S-Table'!$E$2:$G$82,3,FALSE)</f>
        <v>102.99</v>
      </c>
      <c r="M11" s="52"/>
      <c r="N11" s="7"/>
      <c r="O11" s="59">
        <f t="shared" si="5"/>
        <v>2</v>
      </c>
      <c r="P11" s="59">
        <f t="shared" si="0"/>
        <v>30</v>
      </c>
      <c r="Q11" s="125"/>
      <c r="R11" s="126"/>
      <c r="S11" s="128"/>
      <c r="T11" s="128"/>
      <c r="U11" s="128"/>
      <c r="V11" s="7"/>
      <c r="W11" s="125"/>
      <c r="X11" s="125"/>
      <c r="Y11" s="125"/>
      <c r="Z11" s="125"/>
      <c r="AA11" s="125"/>
      <c r="AB11" s="125"/>
      <c r="AC11" s="61"/>
      <c r="AD11" s="61"/>
      <c r="AE11" s="61"/>
      <c r="AF11" s="125"/>
      <c r="AG11" s="7"/>
      <c r="AH11" s="73"/>
      <c r="AI11" s="73"/>
      <c r="AJ11" s="84"/>
      <c r="AK11" s="84"/>
      <c r="AL11" s="84"/>
      <c r="AM11" s="84"/>
      <c r="AN11" s="84"/>
      <c r="AO11" s="84"/>
      <c r="AP11" s="7"/>
    </row>
    <row r="12" spans="1:42">
      <c r="A12" s="75"/>
      <c r="B12" s="76"/>
      <c r="C12" s="76"/>
      <c r="D12" s="76"/>
      <c r="E12" s="7"/>
      <c r="F12" s="59">
        <f t="shared" si="1"/>
        <v>2</v>
      </c>
      <c r="G12" s="59">
        <f t="shared" si="7"/>
        <v>30</v>
      </c>
      <c r="H12" s="59">
        <f t="shared" ref="H12:H13" si="9">$D$4</f>
        <v>500</v>
      </c>
      <c r="I12" s="59">
        <v>15</v>
      </c>
      <c r="J12" s="5" t="str">
        <f t="shared" si="4"/>
        <v>23050015</v>
      </c>
      <c r="K12" s="5">
        <f>VLOOKUP($J12,'S-Table'!$E$2:$G$82,2,FALSE)</f>
        <v>80</v>
      </c>
      <c r="L12" s="59">
        <f>VLOOKUP($J12,'S-Table'!$E$2:$G$82,3,FALSE)</f>
        <v>95.84</v>
      </c>
      <c r="M12" s="52"/>
      <c r="N12" s="7"/>
      <c r="O12" s="59">
        <f t="shared" si="5"/>
        <v>2</v>
      </c>
      <c r="P12" s="59">
        <f t="shared" si="0"/>
        <v>30</v>
      </c>
      <c r="Q12" s="125"/>
      <c r="R12" s="124">
        <f>I4</f>
        <v>20</v>
      </c>
      <c r="S12" s="127">
        <f>((K10-K13)*Q8+(K13*H10-H13*K10))/(H10-H13)</f>
        <v>200</v>
      </c>
      <c r="T12" s="127">
        <f>((L10-L13)*Q8+(L13*H10-H13*L10))/(H10-H13)</f>
        <v>76.219999999999985</v>
      </c>
      <c r="U12" s="127"/>
      <c r="V12" s="7"/>
      <c r="W12" s="125"/>
      <c r="X12" s="125"/>
      <c r="Y12" s="125"/>
      <c r="Z12" s="125"/>
      <c r="AA12" s="125"/>
      <c r="AB12" s="125"/>
      <c r="AC12" s="61"/>
      <c r="AD12" s="61"/>
      <c r="AE12" s="61"/>
      <c r="AF12" s="125"/>
      <c r="AG12" s="7"/>
      <c r="AH12" s="73"/>
      <c r="AI12" s="73"/>
      <c r="AJ12" s="84"/>
      <c r="AK12" s="84"/>
      <c r="AL12" s="84"/>
      <c r="AM12" s="84"/>
      <c r="AN12" s="84"/>
      <c r="AO12" s="84"/>
      <c r="AP12" s="7"/>
    </row>
    <row r="13" spans="1:42">
      <c r="A13" s="75"/>
      <c r="B13" s="76"/>
      <c r="C13" s="76"/>
      <c r="D13" s="76"/>
      <c r="E13" s="7"/>
      <c r="F13" s="59">
        <f t="shared" si="1"/>
        <v>2</v>
      </c>
      <c r="G13" s="59">
        <f t="shared" si="7"/>
        <v>30</v>
      </c>
      <c r="H13" s="59">
        <f t="shared" si="9"/>
        <v>500</v>
      </c>
      <c r="I13" s="5">
        <v>20</v>
      </c>
      <c r="J13" s="5" t="str">
        <f t="shared" si="4"/>
        <v>23050020</v>
      </c>
      <c r="K13" s="5">
        <f>VLOOKUP($J13,'S-Table'!$E$2:$G$82,2,FALSE)</f>
        <v>200</v>
      </c>
      <c r="L13" s="59">
        <f>VLOOKUP($J13,'S-Table'!$E$2:$G$82,3,FALSE)</f>
        <v>76.22</v>
      </c>
      <c r="M13" s="59"/>
      <c r="N13" s="7"/>
      <c r="O13" s="59">
        <f t="shared" si="5"/>
        <v>2</v>
      </c>
      <c r="P13" s="59">
        <f t="shared" si="0"/>
        <v>30</v>
      </c>
      <c r="Q13" s="126"/>
      <c r="R13" s="126"/>
      <c r="S13" s="128"/>
      <c r="T13" s="128"/>
      <c r="U13" s="128"/>
      <c r="V13" s="7"/>
      <c r="W13" s="126"/>
      <c r="X13" s="126"/>
      <c r="Y13" s="126"/>
      <c r="Z13" s="126"/>
      <c r="AA13" s="126"/>
      <c r="AB13" s="126"/>
      <c r="AC13" s="62"/>
      <c r="AD13" s="62"/>
      <c r="AE13" s="62"/>
      <c r="AF13" s="126"/>
      <c r="AG13" s="7"/>
      <c r="AH13" s="73"/>
      <c r="AI13" s="73"/>
      <c r="AJ13" s="84"/>
      <c r="AK13" s="84"/>
      <c r="AL13" s="84"/>
      <c r="AM13" s="84"/>
      <c r="AN13" s="84"/>
      <c r="AO13" s="84"/>
      <c r="AP13" s="7"/>
    </row>
    <row r="14" spans="1:42">
      <c r="A14" s="75"/>
      <c r="B14" s="76"/>
      <c r="C14" s="76"/>
      <c r="D14" s="77"/>
      <c r="E14" s="7"/>
      <c r="F14" s="73"/>
      <c r="G14" s="73"/>
      <c r="H14" s="73"/>
      <c r="I14" s="73"/>
      <c r="J14" s="72"/>
      <c r="K14" s="72"/>
      <c r="L14" s="73"/>
      <c r="M14" s="73"/>
      <c r="N14" s="7"/>
      <c r="V14" s="7"/>
      <c r="AG14" s="7"/>
      <c r="AH14" s="73"/>
      <c r="AI14" s="73"/>
      <c r="AJ14" s="84"/>
      <c r="AK14" s="84"/>
      <c r="AL14" s="84"/>
      <c r="AM14" s="84"/>
      <c r="AN14" s="84"/>
      <c r="AO14" s="84"/>
      <c r="AP14" s="7"/>
    </row>
    <row r="15" spans="1:42">
      <c r="A15" s="74"/>
      <c r="B15" s="74"/>
      <c r="C15" s="74"/>
      <c r="D15" s="74"/>
      <c r="E15" s="7"/>
      <c r="F15" s="73"/>
      <c r="G15" s="73"/>
      <c r="H15" s="73"/>
      <c r="I15" s="72"/>
      <c r="J15" s="73"/>
      <c r="K15" s="72"/>
      <c r="L15" s="73"/>
      <c r="M15" s="73"/>
      <c r="N15" s="7"/>
      <c r="V15" s="7"/>
      <c r="W15">
        <f>Z2</f>
        <v>10</v>
      </c>
      <c r="X15">
        <f>AA2</f>
        <v>60</v>
      </c>
      <c r="Y15">
        <f>AB2</f>
        <v>102.98999999999997</v>
      </c>
      <c r="Z15">
        <f>LN(X15)</f>
        <v>4.0943445622221004</v>
      </c>
      <c r="AG15" s="7"/>
      <c r="AH15" s="73"/>
      <c r="AI15" s="73"/>
      <c r="AJ15" s="84"/>
      <c r="AK15" s="84"/>
      <c r="AL15" s="84"/>
      <c r="AM15" s="84"/>
      <c r="AN15" s="84"/>
      <c r="AO15" s="84"/>
      <c r="AP15" s="7"/>
    </row>
    <row r="16" spans="1:42">
      <c r="A16" s="7"/>
      <c r="B16" s="7"/>
      <c r="C16" s="7"/>
      <c r="D16" s="7"/>
      <c r="E16" s="7"/>
      <c r="F16" s="73"/>
      <c r="G16" s="73"/>
      <c r="H16" s="73"/>
      <c r="I16" s="73"/>
      <c r="J16" s="72"/>
      <c r="K16" s="72"/>
      <c r="L16" s="73"/>
      <c r="M16" s="73"/>
      <c r="N16" s="7"/>
      <c r="V16" s="7"/>
      <c r="W16" s="83">
        <f>Z6</f>
        <v>15</v>
      </c>
      <c r="X16">
        <f>AA6</f>
        <v>80</v>
      </c>
      <c r="Y16">
        <f>AB6</f>
        <v>95.84000000000006</v>
      </c>
      <c r="Z16">
        <f t="shared" ref="Z16:Z17" si="10">LN(X16)</f>
        <v>4.3820266346738812</v>
      </c>
      <c r="AG16" s="7"/>
      <c r="AH16" s="73"/>
      <c r="AI16" s="73"/>
      <c r="AJ16" s="84"/>
      <c r="AK16" s="84"/>
      <c r="AL16" s="84"/>
      <c r="AM16" s="84"/>
      <c r="AN16" s="84"/>
      <c r="AO16" s="84"/>
      <c r="AP16" s="7"/>
    </row>
    <row r="17" spans="1:42">
      <c r="A17" s="129" t="s">
        <v>507</v>
      </c>
      <c r="B17" s="129"/>
      <c r="C17" s="129"/>
      <c r="D17" s="129"/>
      <c r="E17" s="7"/>
      <c r="F17" s="73"/>
      <c r="G17" s="73"/>
      <c r="H17" s="73"/>
      <c r="I17" s="73"/>
      <c r="J17" s="73"/>
      <c r="K17" s="72"/>
      <c r="L17" s="73"/>
      <c r="M17" s="73"/>
      <c r="N17" s="7"/>
      <c r="V17" s="7"/>
      <c r="W17">
        <f>Z10</f>
        <v>20</v>
      </c>
      <c r="X17">
        <f>AA10</f>
        <v>200</v>
      </c>
      <c r="Y17">
        <f>AB10</f>
        <v>76.220000000000056</v>
      </c>
      <c r="Z17">
        <f t="shared" si="10"/>
        <v>5.2983173665480363</v>
      </c>
      <c r="AG17" s="7"/>
      <c r="AH17" s="73"/>
      <c r="AI17" s="73"/>
      <c r="AJ17" s="84"/>
      <c r="AK17" s="84"/>
      <c r="AL17" s="84"/>
      <c r="AM17" s="84"/>
      <c r="AN17" s="84"/>
      <c r="AO17" s="84"/>
      <c r="AP17" s="7"/>
    </row>
    <row r="18" spans="1:42">
      <c r="A18" s="129"/>
      <c r="B18" s="129"/>
      <c r="C18" s="129"/>
      <c r="D18" s="129"/>
      <c r="E18" s="7"/>
      <c r="F18" s="73"/>
      <c r="G18" s="73"/>
      <c r="H18" s="73"/>
      <c r="I18" s="73"/>
      <c r="J18" s="72"/>
      <c r="K18" s="72"/>
      <c r="L18" s="73"/>
      <c r="M18" s="73"/>
      <c r="N18" s="7"/>
      <c r="V18" s="7"/>
      <c r="AG18" s="7"/>
      <c r="AH18" s="73"/>
      <c r="AI18" s="73"/>
      <c r="AJ18" s="84"/>
      <c r="AK18" s="84"/>
      <c r="AL18" s="85"/>
      <c r="AM18" s="85"/>
      <c r="AN18" s="84"/>
      <c r="AO18" s="84"/>
      <c r="AP18" s="7"/>
    </row>
    <row r="19" spans="1:42">
      <c r="A19" s="129"/>
      <c r="B19" s="129"/>
      <c r="C19" s="129"/>
      <c r="D19" s="129"/>
      <c r="E19" s="7"/>
      <c r="F19" s="73"/>
      <c r="G19" s="73"/>
      <c r="H19" s="73"/>
      <c r="I19" s="72"/>
      <c r="J19" s="73"/>
      <c r="K19" s="72"/>
      <c r="L19" s="73"/>
      <c r="M19" s="73"/>
      <c r="N19" s="7"/>
      <c r="V19" s="7"/>
      <c r="W19" cm="1">
        <f t="array" ref="W19:X23">LINEST(Z15:Z17,W15:W17,TRUE,TRUE)</f>
        <v>0.12039728043259357</v>
      </c>
      <c r="X19">
        <v>2.7856036479924362</v>
      </c>
      <c r="AG19" s="7"/>
      <c r="AH19" s="73"/>
      <c r="AI19" s="73"/>
      <c r="AJ19" s="84"/>
      <c r="AK19" s="84"/>
      <c r="AL19" s="84"/>
      <c r="AM19" s="84"/>
      <c r="AN19" s="84"/>
      <c r="AO19" s="84"/>
      <c r="AP19" s="7"/>
    </row>
    <row r="20" spans="1:42">
      <c r="A20" s="129"/>
      <c r="B20" s="129"/>
      <c r="C20" s="129"/>
      <c r="D20" s="129"/>
      <c r="E20" s="7"/>
      <c r="F20" s="73"/>
      <c r="G20" s="73"/>
      <c r="H20" s="73"/>
      <c r="I20" s="73"/>
      <c r="J20" s="72"/>
      <c r="K20" s="72"/>
      <c r="L20" s="73"/>
      <c r="M20" s="73"/>
      <c r="N20" s="7"/>
      <c r="V20" s="7"/>
      <c r="W20">
        <v>3.6292737873243781E-2</v>
      </c>
      <c r="X20">
        <v>0.5641935383635619</v>
      </c>
      <c r="AG20" s="7"/>
      <c r="AH20" s="73"/>
      <c r="AI20" s="73"/>
      <c r="AJ20" s="84"/>
      <c r="AK20" s="84"/>
      <c r="AL20" s="84"/>
      <c r="AM20" s="84"/>
      <c r="AN20" s="84"/>
      <c r="AO20" s="84"/>
      <c r="AP20" s="7"/>
    </row>
    <row r="21" spans="1:42">
      <c r="A21" s="129"/>
      <c r="B21" s="129"/>
      <c r="C21" s="129"/>
      <c r="D21" s="129"/>
      <c r="E21" s="7"/>
      <c r="F21" s="73"/>
      <c r="G21" s="73"/>
      <c r="H21" s="73"/>
      <c r="I21" s="73"/>
      <c r="J21" s="73"/>
      <c r="K21" s="72"/>
      <c r="L21" s="73"/>
      <c r="M21" s="73"/>
      <c r="N21" s="7"/>
      <c r="V21" s="7"/>
      <c r="W21">
        <v>0.91670205016365491</v>
      </c>
      <c r="X21">
        <v>0.2566284105799651</v>
      </c>
      <c r="AG21" s="7"/>
      <c r="AH21" s="73"/>
      <c r="AI21" s="73"/>
      <c r="AJ21" s="84"/>
      <c r="AK21" s="84"/>
      <c r="AL21" s="84"/>
      <c r="AM21" s="84"/>
      <c r="AN21" s="84"/>
      <c r="AO21" s="84"/>
      <c r="AP21" s="7"/>
    </row>
    <row r="22" spans="1:42">
      <c r="A22" s="129"/>
      <c r="B22" s="129"/>
      <c r="C22" s="129"/>
      <c r="D22" s="129"/>
      <c r="E22" s="7"/>
      <c r="F22" s="73"/>
      <c r="G22" s="73"/>
      <c r="H22" s="73"/>
      <c r="I22" s="73"/>
      <c r="J22" s="72"/>
      <c r="K22" s="72"/>
      <c r="L22" s="73"/>
      <c r="M22" s="73"/>
      <c r="N22" s="7"/>
      <c r="V22" s="7"/>
      <c r="W22">
        <v>11.005097387927227</v>
      </c>
      <c r="X22">
        <v>1</v>
      </c>
      <c r="AG22" s="7"/>
      <c r="AH22" s="73"/>
      <c r="AI22" s="73"/>
      <c r="AJ22" s="84"/>
      <c r="AK22" s="84"/>
      <c r="AL22" s="84"/>
      <c r="AM22" s="84"/>
      <c r="AN22" s="84"/>
      <c r="AO22" s="84"/>
      <c r="AP22" s="7"/>
    </row>
    <row r="23" spans="1:42">
      <c r="A23" s="7"/>
      <c r="B23" s="7"/>
      <c r="C23" s="7"/>
      <c r="D23" s="7"/>
      <c r="E23" s="7"/>
      <c r="F23" s="73"/>
      <c r="G23" s="73"/>
      <c r="H23" s="73"/>
      <c r="I23" s="72"/>
      <c r="J23" s="73"/>
      <c r="K23" s="72"/>
      <c r="L23" s="73"/>
      <c r="M23" s="73"/>
      <c r="N23" s="7"/>
      <c r="V23" s="7"/>
      <c r="W23">
        <v>0.72477525677822907</v>
      </c>
      <c r="X23">
        <v>6.5858141116799149E-2</v>
      </c>
      <c r="AG23" s="7"/>
      <c r="AH23" s="73"/>
      <c r="AI23" s="73"/>
      <c r="AJ23" s="84"/>
      <c r="AK23" s="84"/>
      <c r="AL23" s="84"/>
      <c r="AM23" s="84"/>
      <c r="AN23" s="84"/>
      <c r="AO23" s="84"/>
      <c r="AP23" s="7"/>
    </row>
    <row r="24" spans="1:42">
      <c r="A24" s="7"/>
      <c r="B24" s="7"/>
      <c r="C24" s="7"/>
      <c r="D24" s="7"/>
      <c r="E24" s="7"/>
      <c r="F24" s="73"/>
      <c r="G24" s="73"/>
      <c r="H24" s="73"/>
      <c r="I24" s="73"/>
      <c r="J24" s="72"/>
      <c r="K24" s="72"/>
      <c r="L24" s="73"/>
      <c r="M24" s="73"/>
      <c r="N24" s="7"/>
      <c r="V24" s="7"/>
      <c r="AG24" s="7"/>
      <c r="AH24" s="73"/>
      <c r="AI24" s="73"/>
      <c r="AJ24" s="84"/>
      <c r="AK24" s="84"/>
      <c r="AL24" s="84"/>
      <c r="AM24" s="84"/>
      <c r="AN24" s="84"/>
      <c r="AO24" s="84"/>
      <c r="AP24" s="7"/>
    </row>
    <row r="25" spans="1:42">
      <c r="A25" s="7"/>
      <c r="B25" s="7"/>
      <c r="C25" s="7"/>
      <c r="D25" s="7"/>
      <c r="E25" s="7"/>
      <c r="F25" s="73"/>
      <c r="G25" s="73"/>
      <c r="H25" s="73"/>
      <c r="I25" s="73"/>
      <c r="J25" s="73"/>
      <c r="K25" s="72"/>
      <c r="L25" s="73"/>
      <c r="M25" s="73"/>
      <c r="N25" s="7"/>
      <c r="V25" s="7"/>
      <c r="AG25" s="7"/>
      <c r="AH25" s="73"/>
      <c r="AI25" s="73"/>
      <c r="AJ25" s="84"/>
      <c r="AK25" s="84"/>
      <c r="AL25" s="84"/>
      <c r="AM25" s="84"/>
      <c r="AN25" s="84"/>
      <c r="AO25" s="84"/>
      <c r="AP25" s="7"/>
    </row>
    <row r="26" spans="1:42">
      <c r="F26" s="73"/>
      <c r="G26" s="73"/>
      <c r="H26" s="73"/>
      <c r="I26" s="73"/>
      <c r="J26" s="72"/>
      <c r="K26" s="72"/>
      <c r="L26" s="73"/>
      <c r="M26" s="73"/>
      <c r="AH26" s="73"/>
      <c r="AI26" s="73"/>
      <c r="AJ26" s="84"/>
      <c r="AK26" s="84"/>
      <c r="AL26" s="85"/>
      <c r="AM26" s="85"/>
      <c r="AN26" s="84"/>
      <c r="AO26" s="84"/>
    </row>
    <row r="27" spans="1:42">
      <c r="F27" s="73"/>
      <c r="G27" s="73"/>
      <c r="H27" s="73"/>
      <c r="I27" s="72"/>
      <c r="J27" s="73"/>
      <c r="K27" s="72"/>
      <c r="L27" s="73"/>
      <c r="M27" s="73"/>
      <c r="AH27" s="73"/>
      <c r="AI27" s="73"/>
      <c r="AJ27" s="84"/>
      <c r="AK27" s="84"/>
      <c r="AL27" s="84"/>
      <c r="AM27" s="84"/>
      <c r="AN27" s="84"/>
      <c r="AO27" s="84"/>
    </row>
    <row r="28" spans="1:42">
      <c r="F28" s="73"/>
      <c r="G28" s="73"/>
      <c r="H28" s="73"/>
      <c r="I28" s="73"/>
      <c r="J28" s="72"/>
      <c r="K28" s="72"/>
      <c r="L28" s="73"/>
      <c r="M28" s="73"/>
      <c r="AH28" s="73"/>
      <c r="AI28" s="73"/>
      <c r="AJ28" s="84"/>
      <c r="AK28" s="84"/>
      <c r="AL28" s="84"/>
      <c r="AM28" s="84"/>
      <c r="AN28" s="84"/>
      <c r="AO28" s="84"/>
    </row>
    <row r="29" spans="1:42">
      <c r="F29" s="73"/>
      <c r="G29" s="73"/>
      <c r="H29" s="73"/>
      <c r="I29" s="73"/>
      <c r="J29" s="73"/>
      <c r="K29" s="72"/>
      <c r="L29" s="73"/>
      <c r="M29" s="73"/>
      <c r="AH29" s="73"/>
      <c r="AI29" s="73"/>
      <c r="AJ29" s="84"/>
      <c r="AK29" s="84"/>
      <c r="AL29" s="84"/>
      <c r="AM29" s="84"/>
      <c r="AN29" s="84"/>
      <c r="AO29" s="84"/>
    </row>
    <row r="30" spans="1:42">
      <c r="F30" s="73"/>
      <c r="G30" s="73"/>
      <c r="H30" s="73"/>
      <c r="I30" s="73"/>
      <c r="J30" s="72"/>
      <c r="K30" s="72"/>
      <c r="L30" s="73"/>
      <c r="M30" s="73"/>
      <c r="AH30" s="73"/>
      <c r="AI30" s="73"/>
      <c r="AJ30" s="84"/>
      <c r="AK30" s="84"/>
      <c r="AL30" s="84"/>
      <c r="AM30" s="84"/>
      <c r="AN30" s="84"/>
      <c r="AO30" s="84"/>
    </row>
    <row r="31" spans="1:42">
      <c r="F31" s="73"/>
      <c r="G31" s="73"/>
      <c r="H31" s="73"/>
      <c r="I31" s="72"/>
      <c r="J31" s="73"/>
      <c r="K31" s="72"/>
      <c r="L31" s="73"/>
      <c r="M31" s="73"/>
      <c r="AH31" s="73"/>
      <c r="AI31" s="73"/>
      <c r="AJ31" s="84"/>
      <c r="AK31" s="84"/>
      <c r="AL31" s="84"/>
      <c r="AM31" s="84"/>
      <c r="AN31" s="84"/>
      <c r="AO31" s="84"/>
    </row>
    <row r="32" spans="1:42">
      <c r="F32" s="73"/>
      <c r="G32" s="73"/>
      <c r="H32" s="73"/>
      <c r="I32" s="73"/>
      <c r="J32" s="72"/>
      <c r="K32" s="72"/>
      <c r="L32" s="73"/>
      <c r="M32" s="73"/>
      <c r="AH32" s="73"/>
      <c r="AI32" s="73"/>
      <c r="AJ32" s="84"/>
      <c r="AK32" s="84"/>
      <c r="AL32" s="84"/>
      <c r="AM32" s="84"/>
      <c r="AN32" s="84"/>
      <c r="AO32" s="84"/>
    </row>
    <row r="33" spans="6:41">
      <c r="F33" s="73"/>
      <c r="G33" s="73"/>
      <c r="H33" s="73"/>
      <c r="I33" s="73"/>
      <c r="J33" s="73"/>
      <c r="K33" s="72"/>
      <c r="L33" s="73"/>
      <c r="M33" s="73"/>
      <c r="AH33" s="73"/>
      <c r="AI33" s="73"/>
      <c r="AJ33" s="84"/>
      <c r="AK33" s="84"/>
      <c r="AL33" s="84"/>
      <c r="AM33" s="84"/>
      <c r="AN33" s="84"/>
      <c r="AO33" s="84"/>
    </row>
  </sheetData>
  <mergeCells count="49">
    <mergeCell ref="A17:D22"/>
    <mergeCell ref="S6:S7"/>
    <mergeCell ref="T6:T7"/>
    <mergeCell ref="U6:U7"/>
    <mergeCell ref="S8:S9"/>
    <mergeCell ref="T8:T9"/>
    <mergeCell ref="U8:U9"/>
    <mergeCell ref="S10:S11"/>
    <mergeCell ref="T10:T11"/>
    <mergeCell ref="U10:U11"/>
    <mergeCell ref="U12:U13"/>
    <mergeCell ref="S12:S13"/>
    <mergeCell ref="T12:T13"/>
    <mergeCell ref="S2:S3"/>
    <mergeCell ref="T2:T3"/>
    <mergeCell ref="U2:U3"/>
    <mergeCell ref="S4:S5"/>
    <mergeCell ref="T4:T5"/>
    <mergeCell ref="U4:U5"/>
    <mergeCell ref="AN2:AN3"/>
    <mergeCell ref="AO2:AO3"/>
    <mergeCell ref="AK2:AK3"/>
    <mergeCell ref="Q2:Q7"/>
    <mergeCell ref="Q8:Q13"/>
    <mergeCell ref="R2:R3"/>
    <mergeCell ref="R4:R5"/>
    <mergeCell ref="R6:R7"/>
    <mergeCell ref="R8:R9"/>
    <mergeCell ref="R10:R11"/>
    <mergeCell ref="R12:R13"/>
    <mergeCell ref="Y2:Y13"/>
    <mergeCell ref="X2:X13"/>
    <mergeCell ref="AA2:AA5"/>
    <mergeCell ref="AB2:AB5"/>
    <mergeCell ref="AF2:AF5"/>
    <mergeCell ref="W2:W13"/>
    <mergeCell ref="AH2:AH3"/>
    <mergeCell ref="AI2:AI3"/>
    <mergeCell ref="AJ2:AJ3"/>
    <mergeCell ref="AL2:AL3"/>
    <mergeCell ref="AA6:AA9"/>
    <mergeCell ref="AB6:AB9"/>
    <mergeCell ref="AF6:AF9"/>
    <mergeCell ref="AA10:AA13"/>
    <mergeCell ref="AB10:AB13"/>
    <mergeCell ref="AF10:AF13"/>
    <mergeCell ref="Z2:Z5"/>
    <mergeCell ref="Z6:Z9"/>
    <mergeCell ref="Z10:Z1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7" tint="0.59999389629810485"/>
  </sheetPr>
  <dimension ref="A1:F42"/>
  <sheetViews>
    <sheetView zoomScale="95" zoomScaleNormal="95" workbookViewId="0">
      <selection activeCell="E26" sqref="E26:F26"/>
    </sheetView>
  </sheetViews>
  <sheetFormatPr defaultColWidth="9.140625" defaultRowHeight="12.75"/>
  <cols>
    <col min="1" max="1" width="4.7109375" style="17" customWidth="1"/>
    <col min="2" max="2" width="50.7109375" style="17" customWidth="1"/>
    <col min="3" max="3" width="12.7109375" style="17" customWidth="1"/>
    <col min="4" max="4" width="8.7109375" style="17" customWidth="1"/>
    <col min="5" max="5" width="32.7109375" style="17" customWidth="1"/>
    <col min="6" max="6" width="13.7109375" style="17" customWidth="1"/>
    <col min="7" max="16384" width="9.140625" style="17"/>
  </cols>
  <sheetData>
    <row r="1" spans="1:6" ht="12.75" customHeight="1">
      <c r="A1" s="20"/>
      <c r="B1" s="105"/>
      <c r="C1" s="105"/>
      <c r="D1" s="23"/>
      <c r="E1" s="105"/>
      <c r="F1" s="105"/>
    </row>
    <row r="2" spans="1:6" ht="12.75" customHeight="1">
      <c r="A2" s="20"/>
      <c r="B2" s="105"/>
      <c r="C2" s="105"/>
      <c r="D2" s="23"/>
      <c r="E2" s="105"/>
      <c r="F2" s="105"/>
    </row>
    <row r="3" spans="1:6" ht="12.75" customHeight="1">
      <c r="A3" s="11"/>
      <c r="B3" s="130" t="s">
        <v>98</v>
      </c>
      <c r="C3" s="130"/>
      <c r="E3" s="105"/>
      <c r="F3" s="105"/>
    </row>
    <row r="4" spans="1:6" ht="12.75" customHeight="1">
      <c r="A4" s="20"/>
      <c r="B4" s="105"/>
      <c r="C4" s="105"/>
      <c r="D4" s="23"/>
      <c r="E4" s="105"/>
      <c r="F4" s="105"/>
    </row>
    <row r="5" spans="1:6" ht="12.75" customHeight="1">
      <c r="B5" s="103" t="s">
        <v>90</v>
      </c>
      <c r="C5" s="103"/>
      <c r="D5" s="23"/>
      <c r="E5" s="103" t="s">
        <v>94</v>
      </c>
      <c r="F5" s="103"/>
    </row>
    <row r="6" spans="1:6" ht="12.75" customHeight="1">
      <c r="A6" s="20"/>
      <c r="B6" s="105"/>
      <c r="C6" s="105"/>
      <c r="D6" s="23"/>
      <c r="E6" s="104"/>
      <c r="F6" s="104"/>
    </row>
    <row r="7" spans="1:6" ht="12.75" customHeight="1">
      <c r="A7" s="20"/>
      <c r="B7" s="31" t="s">
        <v>375</v>
      </c>
      <c r="C7" s="38">
        <v>2</v>
      </c>
      <c r="D7" s="23"/>
      <c r="E7" s="31" t="s">
        <v>374</v>
      </c>
      <c r="F7" s="58">
        <v>30</v>
      </c>
    </row>
    <row r="8" spans="1:6" ht="12.75" customHeight="1">
      <c r="A8" s="20"/>
      <c r="B8" s="31" t="s">
        <v>376</v>
      </c>
      <c r="C8" s="38" t="s">
        <v>433</v>
      </c>
      <c r="D8" s="23"/>
      <c r="E8" s="31" t="s">
        <v>360</v>
      </c>
      <c r="F8" s="58">
        <v>5</v>
      </c>
    </row>
    <row r="9" spans="1:6" ht="12.75" customHeight="1">
      <c r="A9" s="20"/>
      <c r="B9" s="31" t="s">
        <v>85</v>
      </c>
      <c r="C9" s="38"/>
      <c r="D9" s="23"/>
      <c r="E9" s="70"/>
      <c r="F9" s="71"/>
    </row>
    <row r="10" spans="1:6" ht="12.75" customHeight="1">
      <c r="A10" s="20"/>
      <c r="B10" s="31" t="s">
        <v>86</v>
      </c>
      <c r="C10" s="38"/>
      <c r="D10" s="23"/>
      <c r="E10" s="105"/>
      <c r="F10" s="105"/>
    </row>
    <row r="11" spans="1:6" ht="12.75" customHeight="1">
      <c r="A11" s="20"/>
      <c r="B11" s="31" t="s">
        <v>87</v>
      </c>
      <c r="C11" s="38"/>
      <c r="D11" s="23"/>
      <c r="E11" s="103" t="s">
        <v>355</v>
      </c>
      <c r="F11" s="103"/>
    </row>
    <row r="12" spans="1:6" ht="12.75" customHeight="1">
      <c r="A12" s="20"/>
      <c r="B12" s="31" t="s">
        <v>88</v>
      </c>
      <c r="C12" s="38"/>
      <c r="D12" s="23"/>
      <c r="E12" s="104"/>
      <c r="F12" s="104"/>
    </row>
    <row r="13" spans="1:6" ht="12.75" customHeight="1">
      <c r="A13" s="20"/>
      <c r="B13" s="31" t="s">
        <v>89</v>
      </c>
      <c r="C13" s="38"/>
      <c r="D13" s="23"/>
      <c r="E13" s="31" t="s">
        <v>95</v>
      </c>
      <c r="F13" s="38" t="s">
        <v>58</v>
      </c>
    </row>
    <row r="14" spans="1:6" ht="12.75" customHeight="1">
      <c r="A14" s="20"/>
      <c r="B14" s="105"/>
      <c r="C14" s="105"/>
      <c r="D14" s="23"/>
      <c r="E14" s="31" t="s">
        <v>96</v>
      </c>
      <c r="F14" s="38" t="s">
        <v>71</v>
      </c>
    </row>
    <row r="15" spans="1:6" ht="12.75" customHeight="1">
      <c r="A15" s="20"/>
      <c r="B15" s="105"/>
      <c r="C15" s="105"/>
      <c r="D15" s="23"/>
      <c r="E15" s="31" t="s">
        <v>97</v>
      </c>
      <c r="F15" s="38" t="s">
        <v>522</v>
      </c>
    </row>
    <row r="16" spans="1:6" ht="12.75" customHeight="1">
      <c r="A16" s="20"/>
      <c r="B16" s="103" t="s">
        <v>91</v>
      </c>
      <c r="C16" s="103"/>
      <c r="D16" s="23"/>
      <c r="E16" s="31" t="s">
        <v>361</v>
      </c>
      <c r="F16" s="38">
        <v>15</v>
      </c>
    </row>
    <row r="17" spans="1:6" ht="12.75" customHeight="1">
      <c r="A17" s="20"/>
      <c r="B17" s="105"/>
      <c r="C17" s="105"/>
      <c r="D17" s="23"/>
      <c r="E17" s="31" t="s">
        <v>362</v>
      </c>
      <c r="F17" s="38">
        <v>20000</v>
      </c>
    </row>
    <row r="18" spans="1:6" ht="12.75" customHeight="1">
      <c r="A18" s="20"/>
      <c r="B18" s="31" t="s">
        <v>92</v>
      </c>
      <c r="C18" s="38">
        <v>20</v>
      </c>
      <c r="D18" s="23"/>
      <c r="E18" s="106"/>
      <c r="F18" s="106"/>
    </row>
    <row r="19" spans="1:6" ht="12.75" customHeight="1">
      <c r="A19" s="20"/>
      <c r="B19" s="31" t="s">
        <v>364</v>
      </c>
      <c r="C19" s="38">
        <v>6</v>
      </c>
      <c r="D19" s="23"/>
      <c r="E19" s="31" t="s">
        <v>363</v>
      </c>
      <c r="F19" s="32">
        <v>500</v>
      </c>
    </row>
    <row r="20" spans="1:6" ht="12.75" customHeight="1">
      <c r="A20" s="20"/>
      <c r="B20" s="105"/>
      <c r="C20" s="105"/>
      <c r="D20" s="23"/>
      <c r="E20" s="107"/>
      <c r="F20" s="107"/>
    </row>
    <row r="21" spans="1:6" ht="12.75" customHeight="1">
      <c r="A21" s="20"/>
      <c r="B21" s="105"/>
      <c r="C21" s="105"/>
      <c r="D21" s="23"/>
      <c r="E21" s="105"/>
      <c r="F21" s="105"/>
    </row>
    <row r="22" spans="1:6" ht="12.75" customHeight="1">
      <c r="A22" s="20"/>
      <c r="B22" s="103" t="s">
        <v>93</v>
      </c>
      <c r="C22" s="103"/>
      <c r="D22" s="23"/>
      <c r="E22" s="105"/>
      <c r="F22" s="105"/>
    </row>
    <row r="23" spans="1:6" ht="12.75" customHeight="1">
      <c r="A23" s="20"/>
      <c r="B23" s="105"/>
      <c r="C23" s="105"/>
      <c r="D23" s="23"/>
      <c r="E23" s="105"/>
      <c r="F23" s="105"/>
    </row>
    <row r="24" spans="1:6" ht="12.75" customHeight="1">
      <c r="A24" s="20"/>
      <c r="B24" s="31" t="s">
        <v>99</v>
      </c>
      <c r="C24" s="39">
        <v>2</v>
      </c>
      <c r="D24" s="23"/>
      <c r="E24" s="105"/>
      <c r="F24" s="105"/>
    </row>
    <row r="25" spans="1:6" ht="12.75" customHeight="1">
      <c r="A25" s="20"/>
      <c r="B25" s="31" t="s">
        <v>353</v>
      </c>
      <c r="C25" s="39">
        <v>60</v>
      </c>
      <c r="D25" s="23"/>
      <c r="E25" s="105"/>
      <c r="F25" s="105"/>
    </row>
    <row r="26" spans="1:6" ht="12.75" customHeight="1">
      <c r="A26" s="20"/>
      <c r="B26" s="105"/>
      <c r="C26" s="105"/>
      <c r="D26" s="23"/>
      <c r="E26" s="105"/>
      <c r="F26" s="105"/>
    </row>
    <row r="27" spans="1:6" ht="12.75" customHeight="1">
      <c r="A27" s="20"/>
      <c r="B27" s="105"/>
      <c r="C27" s="105"/>
      <c r="D27" s="23"/>
      <c r="E27" s="105"/>
      <c r="F27" s="105"/>
    </row>
    <row r="28" spans="1:6" ht="12.75" customHeight="1">
      <c r="A28" s="20"/>
      <c r="B28" s="130" t="s">
        <v>526</v>
      </c>
      <c r="C28" s="130"/>
      <c r="D28" s="23"/>
      <c r="E28" s="105"/>
      <c r="F28" s="105"/>
    </row>
    <row r="29" spans="1:6" ht="12.75" customHeight="1">
      <c r="A29" s="20"/>
      <c r="B29" s="105"/>
      <c r="C29" s="105"/>
      <c r="D29" s="23"/>
      <c r="E29" s="105"/>
      <c r="F29" s="105"/>
    </row>
    <row r="30" spans="1:6" ht="12.75" customHeight="1">
      <c r="A30" s="20"/>
      <c r="B30" s="18" t="s">
        <v>527</v>
      </c>
      <c r="C30" s="90">
        <v>10</v>
      </c>
      <c r="D30" s="23"/>
      <c r="E30" s="105"/>
      <c r="F30" s="105"/>
    </row>
    <row r="31" spans="1:6" ht="12.75" customHeight="1">
      <c r="A31" s="20"/>
      <c r="B31" s="22"/>
      <c r="C31" s="23"/>
      <c r="D31" s="23"/>
      <c r="F31" s="22"/>
    </row>
    <row r="32" spans="1:6" ht="12.75" customHeight="1">
      <c r="A32" s="20"/>
      <c r="B32" s="22"/>
      <c r="C32" s="23"/>
      <c r="D32" s="23"/>
      <c r="F32" s="22"/>
    </row>
    <row r="33" spans="1:6" ht="12.75" customHeight="1">
      <c r="A33" s="20"/>
      <c r="B33" s="22"/>
      <c r="C33" s="23"/>
      <c r="D33" s="23"/>
      <c r="F33" s="22"/>
    </row>
    <row r="34" spans="1:6">
      <c r="A34" s="20"/>
      <c r="B34" s="22"/>
      <c r="C34" s="23"/>
      <c r="D34" s="23"/>
      <c r="F34" s="22"/>
    </row>
    <row r="35" spans="1:6">
      <c r="A35" s="20"/>
      <c r="B35" s="22"/>
      <c r="C35" s="23"/>
      <c r="D35" s="23"/>
      <c r="F35" s="22"/>
    </row>
    <row r="36" spans="1:6">
      <c r="A36" s="20"/>
      <c r="B36" s="22"/>
      <c r="C36" s="23"/>
      <c r="D36" s="23"/>
      <c r="F36" s="22"/>
    </row>
    <row r="37" spans="1:6">
      <c r="A37" s="20"/>
      <c r="B37" s="22"/>
      <c r="C37" s="23"/>
      <c r="D37" s="23"/>
      <c r="F37" s="22"/>
    </row>
    <row r="38" spans="1:6">
      <c r="A38" s="20"/>
      <c r="B38" s="22"/>
      <c r="C38" s="23"/>
      <c r="D38" s="23"/>
      <c r="F38" s="22"/>
    </row>
    <row r="39" spans="1:6">
      <c r="A39" s="20"/>
      <c r="B39" s="22"/>
      <c r="C39" s="23"/>
      <c r="D39" s="23"/>
      <c r="F39" s="22"/>
    </row>
    <row r="40" spans="1:6">
      <c r="A40" s="20"/>
      <c r="B40" s="22"/>
      <c r="C40" s="23"/>
      <c r="D40" s="23"/>
      <c r="F40" s="22"/>
    </row>
    <row r="41" spans="1:6">
      <c r="A41" s="20"/>
      <c r="B41" s="22"/>
      <c r="C41" s="23"/>
      <c r="D41" s="23"/>
      <c r="F41" s="22"/>
    </row>
    <row r="42" spans="1:6">
      <c r="A42" s="20"/>
      <c r="B42" s="22"/>
      <c r="C42" s="23"/>
      <c r="D42" s="23"/>
      <c r="F42" s="22"/>
    </row>
  </sheetData>
  <sheetProtection algorithmName="SHA-512" hashValue="w9hSzn8a+Q0ZzpOr1rA3Qd3VGXwBbtNMW8krvJV2GepjJCAdlQJtQ2ivnaMX/ro5sN4dg4fCXOdwQ9E2LdeFHA==" saltValue="Gfc+/OV/Hq0bXOpQ2rwaEg==" spinCount="100000" sheet="1" objects="1" scenarios="1"/>
  <mergeCells count="39">
    <mergeCell ref="E25:F25"/>
    <mergeCell ref="E27:F27"/>
    <mergeCell ref="E28:F28"/>
    <mergeCell ref="E29:F29"/>
    <mergeCell ref="E30:F30"/>
    <mergeCell ref="E26:F26"/>
    <mergeCell ref="B29:C29"/>
    <mergeCell ref="B27:C27"/>
    <mergeCell ref="B28:C28"/>
    <mergeCell ref="B4:C4"/>
    <mergeCell ref="B23:C23"/>
    <mergeCell ref="B26:C26"/>
    <mergeCell ref="B2:C2"/>
    <mergeCell ref="B1:C1"/>
    <mergeCell ref="E1:F1"/>
    <mergeCell ref="E2:F2"/>
    <mergeCell ref="E3:F3"/>
    <mergeCell ref="E4:F4"/>
    <mergeCell ref="B3:C3"/>
    <mergeCell ref="B21:C21"/>
    <mergeCell ref="E21:F21"/>
    <mergeCell ref="E22:F22"/>
    <mergeCell ref="B5:C5"/>
    <mergeCell ref="E5:F5"/>
    <mergeCell ref="E11:F11"/>
    <mergeCell ref="B6:C6"/>
    <mergeCell ref="E6:F6"/>
    <mergeCell ref="E10:F10"/>
    <mergeCell ref="E23:F23"/>
    <mergeCell ref="E24:F24"/>
    <mergeCell ref="E12:F12"/>
    <mergeCell ref="B14:C14"/>
    <mergeCell ref="B15:C15"/>
    <mergeCell ref="B17:C17"/>
    <mergeCell ref="E18:F18"/>
    <mergeCell ref="B20:C20"/>
    <mergeCell ref="E20:F20"/>
    <mergeCell ref="B16:C16"/>
    <mergeCell ref="B22:C22"/>
  </mergeCells>
  <phoneticPr fontId="27" type="noConversion"/>
  <dataValidations count="4">
    <dataValidation type="decimal" allowBlank="1" showInputMessage="1" showErrorMessage="1" errorTitle="Modulus of Base Layer" error="Out of Range – Please Enter a Value between 50 and 2000." prompt="STOP!_x000a__x000a_Use button to return to Input Worksheet." sqref="F17" xr:uid="{00000000-0002-0000-0800-000000000000}">
      <formula1>50</formula1>
      <formula2>2000</formula2>
    </dataValidation>
    <dataValidation type="decimal" allowBlank="1" showInputMessage="1" showErrorMessage="1" errorTitle="Base Thickness" error="Out of Range – Please Enter a Value between 2 and 6." prompt="STOP!_x000a__x000a_Use button to return to Input Worksheet." sqref="F16" xr:uid="{00000000-0002-0000-0800-000001000000}">
      <formula1>2</formula1>
      <formula2>6</formula2>
    </dataValidation>
    <dataValidation type="decimal" allowBlank="1" showInputMessage="1" showErrorMessage="1" errorTitle="Thickness of Concrete Layer" error="Out of Range - Please Enter a Value between 6 and 16." prompt="STOP!_x000a__x000a_Use button to return to Input Worksheet." sqref="F7" xr:uid="{00000000-0002-0000-0800-000002000000}">
      <formula1>6</formula1>
      <formula2>16</formula2>
    </dataValidation>
    <dataValidation allowBlank="1" showInputMessage="1" showErrorMessage="1" prompt="STOP!_x000a__x000a_Use button to return to Input Worksheet." sqref="C18 C19 C24 C25 F8 F13 F14 F15 F19" xr:uid="{00000000-0002-0000-0800-000003000000}"/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urnToInput">
                <anchor moveWithCells="1" sizeWithCells="1">
                  <from>
                    <xdr:col>4</xdr:col>
                    <xdr:colOff>0</xdr:colOff>
                    <xdr:row>20</xdr:row>
                    <xdr:rowOff>161925</xdr:rowOff>
                  </from>
                  <to>
                    <xdr:col>6</xdr:col>
                    <xdr:colOff>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Input</vt:lpstr>
      <vt:lpstr>Temperature</vt:lpstr>
      <vt:lpstr>Soil Classification</vt:lpstr>
      <vt:lpstr>K-Table</vt:lpstr>
      <vt:lpstr>K-Table (Lean Concrete)</vt:lpstr>
      <vt:lpstr>Composite K</vt:lpstr>
      <vt:lpstr>S-Table</vt:lpstr>
      <vt:lpstr>Stress</vt:lpstr>
      <vt:lpstr>Final Result</vt:lpstr>
      <vt:lpstr>Time vs. Cumulative Damage</vt:lpstr>
      <vt:lpstr>Cumulative Damage vs. Punchouts</vt:lpstr>
      <vt:lpstr>AASHTO</vt:lpstr>
      <vt:lpstr>ABL</vt:lpstr>
      <vt:lpstr>AMA</vt:lpstr>
      <vt:lpstr>ATL</vt:lpstr>
      <vt:lpstr>AUS</vt:lpstr>
      <vt:lpstr>BMT</vt:lpstr>
      <vt:lpstr>BRY</vt:lpstr>
      <vt:lpstr>BWD</vt:lpstr>
      <vt:lpstr>CHS</vt:lpstr>
      <vt:lpstr>Classification</vt:lpstr>
      <vt:lpstr>CRP</vt:lpstr>
      <vt:lpstr>DAL</vt:lpstr>
      <vt:lpstr>District</vt:lpstr>
      <vt:lpstr>ELP</vt:lpstr>
      <vt:lpstr>FTW</vt:lpstr>
      <vt:lpstr>HOU</vt:lpstr>
      <vt:lpstr>LBB</vt:lpstr>
      <vt:lpstr>LFK</vt:lpstr>
      <vt:lpstr>LRD</vt:lpstr>
      <vt:lpstr>ODA</vt:lpstr>
      <vt:lpstr>PAR</vt:lpstr>
      <vt:lpstr>PHR</vt:lpstr>
      <vt:lpstr>SAT</vt:lpstr>
      <vt:lpstr>SJT</vt:lpstr>
      <vt:lpstr>TYL</vt:lpstr>
      <vt:lpstr>USCS</vt:lpstr>
      <vt:lpstr>WAC</vt:lpstr>
      <vt:lpstr>WFS</vt:lpstr>
      <vt:lpstr>YKM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TxCRCP-ME</dc:title>
  <dc:subject>Based on Mechanistic - Empirical Principles</dc:subject>
  <dc:creator>TxDOT</dc:creator>
  <cp:lastModifiedBy>Moon Won</cp:lastModifiedBy>
  <cp:lastPrinted>2012-03-08T21:38:59Z</cp:lastPrinted>
  <dcterms:created xsi:type="dcterms:W3CDTF">2010-03-11T21:04:44Z</dcterms:created>
  <dcterms:modified xsi:type="dcterms:W3CDTF">2021-10-15T01:16:35Z</dcterms:modified>
</cp:coreProperties>
</file>